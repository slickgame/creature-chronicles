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e6744aa2f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e17bf4e19bf4e02"/>
    <x:sheet xmlns:r="http://schemas.openxmlformats.org/officeDocument/2006/relationships" name="Asset Catalog" sheetId="2" r:id="R89ce6755facd4d43"/>
    <x:sheet xmlns:r="http://schemas.openxmlformats.org/officeDocument/2006/relationships" name="Production Tracker" sheetId="3" r:id="R4e856d14a6f849ca"/>
    <x:sheet xmlns:r="http://schemas.openxmlformats.org/officeDocument/2006/relationships" name="Lists" sheetId="4" r:id="Rc77faa3752cc458c"/>
    <x:sheet xmlns:r="http://schemas.openxmlformats.org/officeDocument/2006/relationships" name="Coverage Matrix" sheetId="5" r:id="R620334fa432d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5">
    <x:font>
      <x:sz val="11"/>
      <x:name val="Carlito"/>
    </x:font>
    <x:font>
      <x:b/>
      <x:sz val="16"/>
      <x:color rgb="FFFFFF"/>
      <x:name val="Calibri"/>
    </x:font>
    <x:font>
      <x:b/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2E8F0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  <x:fill>
      <x:patternFill patternType="solid">
        <x:fgColor rgb="DCE6F1"/>
      </x:patternFill>
    </x:fill>
    <x:fill>
      <x:patternFill patternType="solid">
        <x:fgColor rgb="FDE68A"/>
      </x:patternFill>
    </x:fill>
    <x:fill>
      <x:patternFill patternType="solid">
        <x:fgColor rgb="F3F4F6"/>
      </x:patternFill>
    </x:fill>
    <x:fill>
      <x:patternFill patternType="solid">
        <x:fgColor rgb="7C2D12"/>
      </x:patternFill>
    </x:fill>
    <x:fill>
      <x:patternFill patternType="solid">
        <x:fgColor rgb="FDE68A"/>
      </x:patternFill>
    </x:fill>
    <x:fill>
      <x:patternFill patternType="solid">
        <x:fgColor rgb="BE185D"/>
      </x:patternFill>
    </x:fill>
    <x:fill>
      <x:patternFill patternType="solid">
        <x:fgColor rgb="DBEAFE"/>
      </x:patternFill>
    </x:fill>
    <x:fill>
      <x:patternFill patternType="solid">
        <x:fgColor rgb="E0F2FE"/>
      </x:patternFill>
    </x:fill>
  </x:fills>
  <x:borders count="23">
    <x:border/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top style="thin">
        <x:color rgb="CBD5E1"/>
      </x:top>
    </x:border>
    <x:border>
      <x:bottom style="thin">
        <x:color rgb="CBD5E1"/>
      </x:bottom>
    </x:border>
    <x:border>
      <x:left style="thin">
        <x:color rgb="94A3B8"/>
      </x:left>
      <x:top style="thin">
        <x:color rgb="94A3B8"/>
      </x:top>
    </x:border>
    <x:border>
      <x:top style="thin">
        <x:color rgb="94A3B8"/>
      </x:top>
    </x:border>
    <x:border>
      <x:right style="thin">
        <x:color rgb="94A3B8"/>
      </x:right>
      <x:top style="thin">
        <x:color rgb="94A3B8"/>
      </x:top>
    </x:border>
    <x:border>
      <x:left style="thin">
        <x:color rgb="94A3B8"/>
      </x:left>
      <x:bottom style="thin">
        <x:color rgb="94A3B8"/>
      </x:bottom>
    </x:border>
    <x:border>
      <x:bottom style="thin">
        <x:color rgb="94A3B8"/>
      </x:bottom>
    </x:border>
    <x:border>
      <x:right style="thin">
        <x:color rgb="94A3B8"/>
      </x:right>
      <x:bottom style="thin">
        <x:color rgb="94A3B8"/>
      </x:bottom>
    </x:border>
    <x:border>
      <x:left style="thin">
        <x:color rgb="E2E8F0"/>
      </x:left>
      <x:top style="thin">
        <x:color rgb="E2E8F0"/>
      </x:top>
    </x:border>
    <x:border>
      <x:top style="thin">
        <x:color rgb="E2E8F0"/>
      </x:top>
    </x:border>
    <x:border>
      <x:right style="thin">
        <x:color rgb="E2E8F0"/>
      </x:right>
      <x:top style="thin">
        <x:color rgb="E2E8F0"/>
      </x:top>
    </x:border>
    <x:border>
      <x:left style="thin">
        <x:color rgb="E2E8F0"/>
      </x:left>
    </x:border>
    <x:border>
      <x:right style="thin">
        <x:color rgb="E2E8F0"/>
      </x:right>
    </x:border>
    <x:border>
      <x:left style="thin">
        <x:color rgb="E2E8F0"/>
      </x:left>
      <x:bottom style="thin">
        <x:color rgb="E2E8F0"/>
      </x:bottom>
    </x:border>
    <x:border>
      <x:bottom style="thin">
        <x:color rgb="E2E8F0"/>
      </x:bottom>
    </x:border>
    <x:border>
      <x:right style="thin">
        <x:color rgb="E2E8F0"/>
      </x:right>
      <x:bottom style="thin">
        <x:color rgb="E2E8F0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11" xfId="0" applyNumberFormat="1" applyFont="1" applyFill="1" applyBorder="1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200" fontId="0" fillId="0" borderId="4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5" borderId="10" xfId="0" applyNumberFormat="1" applyFont="1" applyFill="1" applyBorder="1"/>
    <x:xf numFmtId="200" fontId="2" fillId="5" borderId="13" xfId="0" applyNumberFormat="1" applyFont="1" applyFill="1" applyBorder="1"/>
    <x:xf numFmtId="0" fontId="0" fillId="6" borderId="1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7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0" fontId="0" fillId="7" borderId="17" xfId="0" applyNumberFormat="1" applyFont="1" applyFill="1" applyBorder="1" applyAlignment="1">
      <x:alignment vertical="center" wrapText="1"/>
    </x:xf>
    <x:xf numFmtId="0" fontId="2" fillId="7" borderId="15" xfId="0" applyNumberFormat="1" applyFont="1" applyFill="1" applyBorder="1" applyAlignment="1">
      <x:alignment vertical="center" wrapText="1"/>
    </x:xf>
    <x:xf numFmtId="0" fontId="2" fillId="7" borderId="16" xfId="0" applyNumberFormat="1" applyFont="1" applyFill="1" applyBorder="1" applyAlignment="1">
      <x:alignment vertical="center" wrapText="1"/>
    </x:xf>
    <x:xf numFmtId="0" fontId="2" fillId="7" borderId="17" xfId="0" applyNumberFormat="1" applyFont="1" applyFill="1" applyBorder="1" applyAlignment="1">
      <x:alignment vertical="center" wrapText="1"/>
    </x:xf>
    <x:xf numFmtId="0" fontId="2" fillId="7" borderId="15" xfId="0" applyNumberFormat="1" applyFont="1" applyFill="1" applyBorder="1" applyAlignment="1">
      <x:alignment horizontal="center" vertical="center" wrapText="1"/>
    </x:xf>
    <x:xf numFmtId="0" fontId="2" fillId="7" borderId="16" xfId="0" applyNumberFormat="1" applyFont="1" applyFill="1" applyBorder="1" applyAlignment="1">
      <x:alignment horizontal="center" vertical="center" wrapText="1"/>
    </x:xf>
    <x:xf numFmtId="0" fontId="2" fillId="7" borderId="1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xfId="0" applyNumberFormat="1" applyFont="1" applyFill="1" applyBorder="0"/>
    <x:xf numFmtId="0" fontId="2" fillId="10" xfId="0" applyNumberFormat="1" applyFont="1" applyFill="1" applyBorder="0" applyAlignment="1">
      <x:alignment wrapText="1"/>
    </x:xf>
    <x:xf numFmtId="0" fontId="2" fillId="10" xfId="0" applyNumberFormat="1" applyFont="1" applyFill="1" applyBorder="0" applyAlignment="1">
      <x:alignment horizontal="center" wrapText="1"/>
    </x:xf>
    <x:xf numFmtId="0" fontId="2" fillId="10" xfId="0" applyNumberFormat="1" applyFont="1" applyFill="1" applyBorder="0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xfId="0" applyNumberFormat="1" applyFont="1" applyFill="1" applyBorder="0"/>
    <x:xf numFmtId="0" fontId="4" fillId="11" xfId="0" applyNumberFormat="1" applyFont="1" applyFill="1" applyBorder="0" applyAlignment="1">
      <x:alignment wrapText="1"/>
    </x:xf>
    <x:xf numFmtId="0" fontId="4" fillId="11" xfId="0" applyNumberFormat="1" applyFont="1" applyFill="1" applyBorder="0" applyAlignment="1">
      <x:alignment horizontal="center" wrapText="1"/>
    </x:xf>
    <x:xf numFmtId="0" fontId="4" fillId="11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center" wrapText="1"/>
    </x:xf>
    <x:xf numFmtId="0" fontId="0" fillId="12" xfId="0" applyNumberFormat="1" applyFont="1" applyFill="1" applyBorder="0" applyAlignment="1">
      <x:alignment wrapText="1"/>
    </x:xf>
    <x:xf numFmtId="0" fontId="2" fillId="12" xfId="0" applyNumberFormat="1" applyFont="1" applyFill="1" applyBorder="0" applyAlignment="1">
      <x:alignment wrapText="1"/>
    </x:xf>
    <x:xf numFmtId="0" fontId="2" fillId="12" xfId="0" applyNumberFormat="1" applyFont="1" applyFill="1" applyBorder="0" applyAlignment="1">
      <x:alignment horizont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xfId="0" applyNumberFormat="1" applyFont="1" applyFill="1" applyBorder="0"/>
    <x:xf numFmtId="0" fontId="2" fillId="13" xfId="0" applyNumberFormat="1" applyFont="1" applyFill="1" applyBorder="0" applyAlignment="1">
      <x:alignment wrapText="1"/>
    </x:xf>
  </x:cellXfs>
  <x:cellStyles count="1">
    <x:cellStyle name="Normal" xfId="0"/>
  </x:cellStyles>
  <x:dxfs count="13">
    <x:dxf>
      <x:font>
        <x:b/>
      </x:font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ont>
        <x:b/>
      </x:font>
      <x:fill>
        <x:patternFill>
          <x:bgColor rgb="DCFCE7"/>
        </x:patternFill>
      </x:fill>
    </x:dxf>
    <x:dxf>
      <x:fill>
        <x:patternFill patternType="solid">
          <x:bgColor rgb="E0F2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CE7F3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6B7280"/>
      </x:font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55c17dd834e70" /><Relationship Type="http://schemas.openxmlformats.org/officeDocument/2006/relationships/theme" Target="/xl/theme/theme1.xml" Id="Rc8f3f99ae3534899" /><Relationship Type="http://schemas.openxmlformats.org/officeDocument/2006/relationships/sharedStrings" Target="/xl/sharedStrings.xml" Id="R71934cdcb8164223" /><Relationship Type="http://schemas.openxmlformats.org/officeDocument/2006/relationships/worksheet" Target="/xl/worksheets/sheet1.xml" Id="Rce17bf4e19bf4e02" /><Relationship Type="http://schemas.openxmlformats.org/officeDocument/2006/relationships/worksheet" Target="/xl/worksheets/sheet2.xml" Id="R89ce6755facd4d43" /><Relationship Type="http://schemas.openxmlformats.org/officeDocument/2006/relationships/worksheet" Target="/xl/worksheets/sheet3.xml" Id="R4e856d14a6f849ca" /><Relationship Type="http://schemas.openxmlformats.org/officeDocument/2006/relationships/worksheet" Target="/xl/worksheets/sheet4.xml" Id="Rc77faa3752cc458c" /><Relationship Type="http://schemas.openxmlformats.org/officeDocument/2006/relationships/worksheet" Target="/xl/worksheets/sheet5.xml" Id="R620334fa432d4e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0.05000000074505806" hidden="0" customWidth="1"/>
    <x:col min="4" max="4" width="30" hidden="0" customWidth="1"/>
    <x:col min="5" max="5" width="14" hidden="0" customWidth="1"/>
    <x:col min="6" max="6" width="40" hidden="0" customWidth="1"/>
    <x:col min="7" max="7" width="0.05000000074505806" hidden="0" customWidth="1"/>
    <x:col min="8" max="8" width="0.05000000074505806" hidden="0" customWidth="1"/>
  </x:cols>
  <x:sheetData>
    <x:row r="1" ht="17.08984375" hidden="0" customHeight="1">
      <x:c r="A1" s="4" t="str">
        <x:v>Creature Chronicles Image Library Planner</x:v>
      </x:c>
      <x:c r="B1" s="4"/>
      <x:c r="C1" s="4"/>
      <x:c r="D1" s="4"/>
      <x:c r="E1" s="4"/>
      <x:c r="F1" s="4"/>
      <x:c r="G1" s="4"/>
      <x:c r="H1" s="4"/>
    </x:row>
    <x:row r="3" ht="17.08984375" hidden="0" customHeight="1">
      <x:c r="A3" s="19" t="str">
        <x:v>Assumption</x:v>
      </x:c>
      <x:c r="B3" s="20" t="str">
        <x:v>Value</x:v>
      </x:c>
      <x:c r="D3" s="45" t="str">
        <x:v>Asset Family</x:v>
      </x:c>
      <x:c r="E3" s="46" t="str">
        <x:v>Estimated Count</x:v>
      </x:c>
      <x:c r="F3" s="47" t="str">
        <x:v>Notes</x:v>
      </x:c>
    </x:row>
    <x:row r="4" ht="17.08984375" hidden="0" customHeight="1">
      <x:c r="A4" s="13" t="str">
        <x:v>Creatures</x:v>
      </x:c>
      <x:c r="B4" s="56" t="n">
        <x:v>8</x:v>
      </x:c>
      <x:c r="D4" s="36" t="str">
        <x:v>Creature portrait / face icons</x:v>
      </x:c>
      <x:c r="E4" s="58" t="n">
        <x:f>B4</x:f>
        <x:v>8</x:v>
      </x:c>
      <x:c r="F4" s="38" t="str">
        <x:v>Face-only icons for ranch, menus, etc.</x:v>
      </x:c>
    </x:row>
    <x:row r="5" ht="17.08984375" hidden="0" customHeight="1">
      <x:c r="A5" s="13" t="str">
        <x:v>NPCs</x:v>
      </x:c>
      <x:c r="B5" s="56" t="n">
        <x:v>12</x:v>
      </x:c>
      <x:c r="D5" s="36" t="str">
        <x:v>Creature full body profiles</x:v>
      </x:c>
      <x:c r="E5" s="58" t="n">
        <x:f>B4</x:f>
        <x:v>8</x:v>
      </x:c>
      <x:c r="F5" s="38" t="str">
        <x:v>Viewer/profile art</x:v>
      </x:c>
    </x:row>
    <x:row r="6" ht="17.08984375" hidden="0" customHeight="1">
      <x:c r="A6" s="13" t="str">
        <x:v>Task Types</x:v>
      </x:c>
      <x:c r="B6" s="56" t="n">
        <x:v>8</x:v>
      </x:c>
      <x:c r="D6" s="36" t="str">
        <x:v>NPC portrait / dialogue faces</x:v>
      </x:c>
      <x:c r="E6" s="58" t="n">
        <x:f>B5</x:f>
        <x:v>12</x:v>
      </x:c>
      <x:c r="F6" s="38" t="str">
        <x:v>Shown beside dialogue</x:v>
      </x:c>
    </x:row>
    <x:row r="7" ht="17.08984375" hidden="0" customHeight="1">
      <x:c r="A7" s="13" t="str">
        <x:v>NPC Relationship Reward Levels (e.g. 2-5)</x:v>
      </x:c>
      <x:c r="B7" s="56" t="n">
        <x:v>4</x:v>
      </x:c>
      <x:c r="D7" s="36" t="str">
        <x:v>NPC full body profiles</x:v>
      </x:c>
      <x:c r="E7" s="58" t="n">
        <x:f>B5</x:f>
        <x:v>12</x:v>
      </x:c>
      <x:c r="F7" s="38" t="str">
        <x:v>Town / NPC viewer art</x:v>
      </x:c>
    </x:row>
    <x:row r="8" ht="17.08984375" hidden="0" customHeight="1">
      <x:c r="A8" s="13" t="str">
        <x:v>Include self-pair creature breeding scenes? (0/1)</x:v>
      </x:c>
      <x:c r="B8" s="56" t="n">
        <x:v>0</x:v>
      </x:c>
      <x:c r="D8" s="36" t="str">
        <x:v>Breeding preview - giver</x:v>
      </x:c>
      <x:c r="E8" s="58" t="n">
        <x:f>B4+1</x:f>
        <x:v>9</x:v>
      </x:c>
      <x:c r="F8" s="38" t="str">
        <x:v>Each creature + player giver preview</x:v>
      </x:c>
    </x:row>
    <x:row r="9" ht="17.08984375" hidden="0" customHeight="1">
      <x:c r="A9" s="13" t="str">
        <x:v>Player role variants in breeding scenes (usually 2)</x:v>
      </x:c>
      <x:c r="B9" s="56" t="n">
        <x:v>2</x:v>
      </x:c>
      <x:c r="D9" s="36" t="str">
        <x:v>Breeding preview - receiver</x:v>
      </x:c>
      <x:c r="E9" s="58" t="n">
        <x:f>B4+1</x:f>
        <x:v>9</x:v>
      </x:c>
      <x:c r="F9" s="38" t="str">
        <x:v>Each creature + player receiver preview</x:v>
      </x:c>
    </x:row>
    <x:row r="10" ht="17.08984375" hidden="0" customHeight="1">
      <x:c r="A10" s="15" t="str">
        <x:v>Extra expression variants per NPC portrait (optional)</x:v>
      </x:c>
      <x:c r="B10" s="57" t="n">
        <x:v>3</x:v>
      </x:c>
      <x:c r="D10" s="36" t="str">
        <x:v>Breeding scenes: creature ↔ player</x:v>
      </x:c>
      <x:c r="E10" s="58" t="n">
        <x:f>B4*B9</x:f>
        <x:v>16</x:v>
      </x:c>
      <x:c r="F10" s="38" t="str">
        <x:v>Directional variants</x:v>
      </x:c>
    </x:row>
    <x:row r="11" ht="17.08984375" hidden="0" customHeight="1">
      <x:c r="D11" s="36" t="str">
        <x:v>Breeding scenes: creature ↔ creature</x:v>
      </x:c>
      <x:c r="E11" s="58" t="n">
        <x:f>IF(B8=1,B4*B4,B4*(B4-1))</x:f>
        <x:v>56</x:v>
      </x:c>
      <x:c r="F11" s="38" t="str">
        <x:v>Directional pair scenes</x:v>
      </x:c>
    </x:row>
    <x:row r="12" ht="17.08984375" hidden="0" customHeight="1">
      <x:c r="D12" s="36" t="str">
        <x:v>Task scenes</x:v>
      </x:c>
      <x:c r="E12" s="58" t="n">
        <x:f>B4*B6</x:f>
        <x:v>64</x:v>
      </x:c>
      <x:c r="F12" s="38" t="str">
        <x:v>Each creature performing each task</x:v>
      </x:c>
    </x:row>
    <x:row r="13" ht="17.08984375" hidden="0" customHeight="1">
      <x:c r="D13" s="36" t="str">
        <x:v>NPC relationship image rewards</x:v>
      </x:c>
      <x:c r="E13" s="58" t="n">
        <x:f>B5*B7</x:f>
        <x:v>48</x:v>
      </x:c>
      <x:c r="F13" s="38" t="str">
        <x:v>One reward image per NPC per reward level</x:v>
      </x:c>
    </x:row>
    <x:row r="14" ht="17.08984375" hidden="0" customHeight="1">
      <x:c r="D14" s="36" t="str">
        <x:v>Optional: NPC expression variants</x:v>
      </x:c>
      <x:c r="E14" s="58" t="n">
        <x:f>B5*B10</x:f>
        <x:v>36</x:v>
      </x:c>
      <x:c r="F14" s="38" t="str">
        <x:v>Happy, angry, shy, etc.</x:v>
      </x:c>
    </x:row>
    <x:row r="15" ht="17.08984375" hidden="0" customHeight="1">
      <x:c r="D15" s="39" t="str">
        <x:v>Optional: egg / hatch result art</x:v>
      </x:c>
      <x:c r="E15" s="59" t="n">
        <x:f>B4</x:f>
        <x:v>8</x:v>
      </x:c>
      <x:c r="F15" s="41" t="str">
        <x:v>Recommended if hatch flow is visualized</x:v>
      </x:c>
    </x:row>
    <x:row r="16" ht="17.08984375" hidden="0" customHeight="1">
      <x:c r="E16" s="60"/>
    </x:row>
    <x:row r="17" ht="17.08984375" hidden="0" customHeight="1">
      <x:c r="D17" s="50" t="str">
        <x:v>Total required (core)</x:v>
      </x:c>
      <x:c r="E17" s="61" t="n">
        <x:f>SUM(E4:E13)</x:f>
        <x:v>242</x:v>
      </x:c>
      <x:c r="F17" s="52" t="str"/>
    </x:row>
    <x:row r="18" ht="17.08984375" hidden="0" customHeight="1">
      <x:c r="D18" s="53" t="str">
        <x:v>Total optional / recommended</x:v>
      </x:c>
      <x:c r="E18" s="62" t="n">
        <x:f>SUM(E14:E15)</x:f>
        <x:v>44</x:v>
      </x:c>
      <x:c r="F18" s="55" t="str"/>
    </x:row>
    <x:row r="20">
      <x:c r="A20" s="134" t="str">
        <x:v>New sheet added</x:v>
      </x:c>
      <x:c r="B20" s="134" t="str">
        <x:v>Coverage Matrix</x:v>
      </x:c>
      <x:c r="C20" s="134" t="str">
        <x:v>Rows = subjects</x:v>
      </x:c>
      <x:c r="D20" s="134" t="str">
        <x:v>Columns = image categories</x:v>
      </x:c>
      <x:c r="E20" s="134" t="str">
        <x:v>Use dropdown statuses</x:v>
      </x:c>
      <x:c r="F20" s="134" t="str">
        <x:v>Best for spotting gaps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42" hidden="0" customWidth="1"/>
  </x:cols>
  <x:sheetData>
    <x:row r="1" ht="17.08984375" hidden="0" customHeight="1">
      <x:c r="A1" s="69" t="str">
        <x:v>Asset Group</x:v>
      </x:c>
      <x:c r="B1" s="70" t="str">
        <x:v>Asset Type</x:v>
      </x:c>
      <x:c r="C1" s="70" t="str">
        <x:v>Scope</x:v>
      </x:c>
      <x:c r="D1" s="70" t="str">
        <x:v>Qty Estimate</x:v>
      </x:c>
      <x:c r="E1" s="70" t="str">
        <x:v>Priority</x:v>
      </x:c>
      <x:c r="F1" s="70" t="str">
        <x:v>Status</x:v>
      </x:c>
      <x:c r="G1" s="70" t="str">
        <x:v>Required?</x:v>
      </x:c>
      <x:c r="H1" s="71" t="str">
        <x:v>Notes</x:v>
      </x:c>
    </x:row>
    <x:row r="2" ht="17.08984375" hidden="0" customHeight="1">
      <x:c r="A2" s="36" t="str">
        <x:v>Creature UI</x:v>
      </x:c>
      <x:c r="B2" s="37" t="str">
        <x:v>Portrait</x:v>
      </x:c>
      <x:c r="C2" s="37" t="str">
        <x:v>Per creature</x:v>
      </x:c>
      <x:c r="D2" s="58" t="n">
        <x:f>Dashboard!B4</x:f>
        <x:v>8</x:v>
      </x:c>
      <x:c r="E2" s="37" t="str">
        <x:v>Critical</x:v>
      </x:c>
      <x:c r="F2" s="37" t="str">
        <x:v>Need to Start</x:v>
      </x:c>
      <x:c r="G2" s="37" t="str">
        <x:v>Yes</x:v>
      </x:c>
      <x:c r="H2" s="38" t="str">
        <x:v>Face-only icon used in ranch operations, menus, lists.</x:v>
      </x:c>
    </x:row>
    <x:row r="3" ht="17.08984375" hidden="0" customHeight="1">
      <x:c r="A3" s="36" t="str">
        <x:v>Creature UI</x:v>
      </x:c>
      <x:c r="B3" s="37" t="str">
        <x:v>Full Body</x:v>
      </x:c>
      <x:c r="C3" s="37" t="str">
        <x:v>Per creature</x:v>
      </x:c>
      <x:c r="D3" s="58" t="n">
        <x:f>Dashboard!B4</x:f>
        <x:v>8</x:v>
      </x:c>
      <x:c r="E3" s="37" t="str">
        <x:v>Critical</x:v>
      </x:c>
      <x:c r="F3" s="37" t="str">
        <x:v>Need to Start</x:v>
      </x:c>
      <x:c r="G3" s="37" t="str">
        <x:v>Yes</x:v>
      </x:c>
      <x:c r="H3" s="38" t="str">
        <x:v>Full body art for creature viewer/profile pages.</x:v>
      </x:c>
    </x:row>
    <x:row r="4" ht="17.08984375" hidden="0" customHeight="1">
      <x:c r="A4" s="36" t="str">
        <x:v>NPC UI</x:v>
      </x:c>
      <x:c r="B4" s="37" t="str">
        <x:v>Portrait</x:v>
      </x:c>
      <x:c r="C4" s="37" t="str">
        <x:v>Per NPC</x:v>
      </x:c>
      <x:c r="D4" s="58" t="n">
        <x:f>Dashboard!B5</x:f>
        <x:v>12</x:v>
      </x:c>
      <x:c r="E4" s="37" t="str">
        <x:v>Critical</x:v>
      </x:c>
      <x:c r="F4" s="37" t="str">
        <x:v>Need to Start</x:v>
      </x:c>
      <x:c r="G4" s="37" t="str">
        <x:v>Yes</x:v>
      </x:c>
      <x:c r="H4" s="38" t="str">
        <x:v>Dialogue box portrait / face.</x:v>
      </x:c>
    </x:row>
    <x:row r="5" ht="17.08984375" hidden="0" customHeight="1">
      <x:c r="A5" s="36" t="str">
        <x:v>NPC UI</x:v>
      </x:c>
      <x:c r="B5" s="37" t="str">
        <x:v>Full Body</x:v>
      </x:c>
      <x:c r="C5" s="37" t="str">
        <x:v>Per NPC</x:v>
      </x:c>
      <x:c r="D5" s="58" t="n">
        <x:f>Dashboard!B5</x:f>
        <x:v>12</x:v>
      </x:c>
      <x:c r="E5" s="37" t="str">
        <x:v>High</x:v>
      </x:c>
      <x:c r="F5" s="37" t="str">
        <x:v>Need to Start</x:v>
      </x:c>
      <x:c r="G5" s="37" t="str">
        <x:v>Yes</x:v>
      </x:c>
      <x:c r="H5" s="38" t="str">
        <x:v>Town/NPC profile art.</x:v>
      </x:c>
    </x:row>
    <x:row r="6" ht="17.08984375" hidden="0" customHeight="1">
      <x:c r="A6" s="36" t="str">
        <x:v>Breeding Preview</x:v>
      </x:c>
      <x:c r="B6" s="37" t="str">
        <x:v>Preview - Giver</x:v>
      </x:c>
      <x:c r="C6" s="37" t="str">
        <x:v>Per creature + player</x:v>
      </x:c>
      <x:c r="D6" s="58" t="n">
        <x:f>Dashboard!B4+1</x:f>
        <x:v>9</x:v>
      </x:c>
      <x:c r="E6" s="37" t="str">
        <x:v>Critical</x:v>
      </x:c>
      <x:c r="F6" s="37" t="str">
        <x:v>Need to Start</x:v>
      </x:c>
      <x:c r="G6" s="37" t="str">
        <x:v>Yes</x:v>
      </x:c>
      <x:c r="H6" s="38" t="str">
        <x:v>Role-specific preview image in breeding menu.</x:v>
      </x:c>
    </x:row>
    <x:row r="7" ht="17.08984375" hidden="0" customHeight="1">
      <x:c r="A7" s="36" t="str">
        <x:v>Breeding Preview</x:v>
      </x:c>
      <x:c r="B7" s="37" t="str">
        <x:v>Preview - Receiver</x:v>
      </x:c>
      <x:c r="C7" s="37" t="str">
        <x:v>Per creature + player</x:v>
      </x:c>
      <x:c r="D7" s="58" t="n">
        <x:f>Dashboard!B4+1</x:f>
        <x:v>9</x:v>
      </x:c>
      <x:c r="E7" s="37" t="str">
        <x:v>Critical</x:v>
      </x:c>
      <x:c r="F7" s="37" t="str">
        <x:v>Need to Start</x:v>
      </x:c>
      <x:c r="G7" s="37" t="str">
        <x:v>Yes</x:v>
      </x:c>
      <x:c r="H7" s="38" t="str">
        <x:v>Role-specific preview image in breeding menu.</x:v>
      </x:c>
    </x:row>
    <x:row r="8" ht="17.08984375" hidden="0" customHeight="1">
      <x:c r="A8" s="36" t="str">
        <x:v>Breeding Scene</x:v>
      </x:c>
      <x:c r="B8" s="37" t="str">
        <x:v>Breeding Scene</x:v>
      </x:c>
      <x:c r="C8" s="37" t="str">
        <x:v>Creature ↔ player directional</x:v>
      </x:c>
      <x:c r="D8" s="58" t="n">
        <x:f>Dashboard!B4*Dashboard!B9</x:f>
        <x:v>16</x:v>
      </x:c>
      <x:c r="E8" s="37" t="str">
        <x:v>Critical</x:v>
      </x:c>
      <x:c r="F8" s="37" t="str">
        <x:v>Need to Start</x:v>
      </x:c>
      <x:c r="G8" s="37" t="str">
        <x:v>Yes</x:v>
      </x:c>
      <x:c r="H8" s="38" t="str">
        <x:v>Examples: horse receiver/player giver and reverse.</x:v>
      </x:c>
    </x:row>
    <x:row r="9" ht="17.08984375" hidden="0" customHeight="1">
      <x:c r="A9" s="36" t="str">
        <x:v>Breeding Scene</x:v>
      </x:c>
      <x:c r="B9" s="37" t="str">
        <x:v>Breeding Scene</x:v>
      </x:c>
      <x:c r="C9" s="37" t="str">
        <x:v>Creature ↔ creature directional</x:v>
      </x:c>
      <x:c r="D9" s="58" t="n">
        <x:f>IF(Dashboard!B8=1,Dashboard!B4*Dashboard!B4,Dashboard!B4*(Dashboard!B4-1))</x:f>
        <x:v>56</x:v>
      </x:c>
      <x:c r="E9" s="37" t="str">
        <x:v>Critical</x:v>
      </x:c>
      <x:c r="F9" s="37" t="str">
        <x:v>Need to Start</x:v>
      </x:c>
      <x:c r="G9" s="37" t="str">
        <x:v>Yes</x:v>
      </x:c>
      <x:c r="H9" s="38" t="str">
        <x:v>Examples: cat giver-horse receiver and reverse.</x:v>
      </x:c>
    </x:row>
    <x:row r="10" ht="17.08984375" hidden="0" customHeight="1">
      <x:c r="A10" s="36" t="str">
        <x:v>Task Scene</x:v>
      </x:c>
      <x:c r="B10" s="37" t="str">
        <x:v>Task Scene</x:v>
      </x:c>
      <x:c r="C10" s="37" t="str">
        <x:v>Each creature × each task</x:v>
      </x:c>
      <x:c r="D10" s="58" t="n">
        <x:f>Dashboard!B4*Dashboard!B6</x:f>
        <x:v>64</x:v>
      </x:c>
      <x:c r="E10" s="37" t="str">
        <x:v>High</x:v>
      </x:c>
      <x:c r="F10" s="37" t="str">
        <x:v>Need to Start</x:v>
      </x:c>
      <x:c r="G10" s="37" t="str">
        <x:v>Yes</x:v>
      </x:c>
      <x:c r="H10" s="38" t="str">
        <x:v>Examples: clean house, cook meal, work fields.</x:v>
      </x:c>
    </x:row>
    <x:row r="11" ht="17.08984375" hidden="0" customHeight="1">
      <x:c r="A11" s="36" t="str">
        <x:v>Relationship Reward</x:v>
      </x:c>
      <x:c r="B11" s="37" t="str">
        <x:v>Relationship CG</x:v>
      </x:c>
      <x:c r="C11" s="37" t="str">
        <x:v>Each NPC × reward level</x:v>
      </x:c>
      <x:c r="D11" s="58" t="n">
        <x:f>Dashboard!B5*Dashboard!B7</x:f>
        <x:v>48</x:v>
      </x:c>
      <x:c r="E11" s="37" t="str">
        <x:v>High</x:v>
      </x:c>
      <x:c r="F11" s="37" t="str">
        <x:v>Need to Start</x:v>
      </x:c>
      <x:c r="G11" s="37" t="str">
        <x:v>Yes</x:v>
      </x:c>
      <x:c r="H11" s="38" t="str">
        <x:v>Relationship image rewards for levels 2-5.</x:v>
      </x:c>
    </x:row>
    <x:row r="12" ht="17.08984375" hidden="0" customHeight="1">
      <x:c r="A12" s="36" t="str">
        <x:v>Player UI</x:v>
      </x:c>
      <x:c r="B12" s="37" t="str">
        <x:v>Portrait</x:v>
      </x:c>
      <x:c r="C12" s="37" t="str">
        <x:v>Player face / dialogue portrait</x:v>
      </x:c>
      <x:c r="D12" s="58" t="n">
        <x:v>1</x:v>
      </x:c>
      <x:c r="E12" s="37" t="str">
        <x:v>Medium</x:v>
      </x:c>
      <x:c r="F12" s="37" t="str">
        <x:v>Need to Start</x:v>
      </x:c>
      <x:c r="G12" s="37" t="str">
        <x:v>Recommended</x:v>
      </x:c>
      <x:c r="H12" s="38" t="str">
        <x:v>Useful if player appears in dialogue or logs.</x:v>
      </x:c>
    </x:row>
    <x:row r="13" ht="17.08984375" hidden="0" customHeight="1">
      <x:c r="A13" s="36" t="str">
        <x:v>Player UI</x:v>
      </x:c>
      <x:c r="B13" s="37" t="str">
        <x:v>Full Body</x:v>
      </x:c>
      <x:c r="C13" s="37" t="str">
        <x:v>Player full body profile</x:v>
      </x:c>
      <x:c r="D13" s="58" t="n">
        <x:v>1</x:v>
      </x:c>
      <x:c r="E13" s="37" t="str">
        <x:v>Medium</x:v>
      </x:c>
      <x:c r="F13" s="37" t="str">
        <x:v>Need to Start</x:v>
      </x:c>
      <x:c r="G13" s="37" t="str">
        <x:v>Recommended</x:v>
      </x:c>
      <x:c r="H13" s="38" t="str">
        <x:v>Useful for menus and player-in-scene reference.</x:v>
      </x:c>
    </x:row>
    <x:row r="14" ht="17.08984375" hidden="0" customHeight="1">
      <x:c r="A14" s="36" t="str">
        <x:v>Expression Variant</x:v>
      </x:c>
      <x:c r="B14" s="37" t="str">
        <x:v>Expression</x:v>
      </x:c>
      <x:c r="C14" s="37" t="str">
        <x:v>Per NPC portrait × extra expressions</x:v>
      </x:c>
      <x:c r="D14" s="58" t="n">
        <x:f>Dashboard!B5*Dashboard!B10</x:f>
        <x:v>36</x:v>
      </x:c>
      <x:c r="E14" s="37" t="str">
        <x:v>Medium</x:v>
      </x:c>
      <x:c r="F14" s="37" t="str">
        <x:v>Need to Start</x:v>
      </x:c>
      <x:c r="G14" s="37" t="str">
        <x:v>Recommended</x:v>
      </x:c>
      <x:c r="H14" s="38" t="str">
        <x:v>Happy/shy/angry/flirty variants make dialogue less repetitive.</x:v>
      </x:c>
    </x:row>
    <x:row r="15" ht="17.08984375" hidden="0" customHeight="1">
      <x:c r="A15" s="36" t="str">
        <x:v>Egg/Hatch</x:v>
      </x:c>
      <x:c r="B15" s="37" t="str">
        <x:v>Egg Icon</x:v>
      </x:c>
      <x:c r="C15" s="37" t="str">
        <x:v>Per creature / offspring style</x:v>
      </x:c>
      <x:c r="D15" s="58" t="n">
        <x:f>Dashboard!B4</x:f>
        <x:v>8</x:v>
      </x:c>
      <x:c r="E15" s="37" t="str">
        <x:v>Medium</x:v>
      </x:c>
      <x:c r="F15" s="37" t="str">
        <x:v>Need to Start</x:v>
      </x:c>
      <x:c r="G15" s="37" t="str">
        <x:v>Recommended</x:v>
      </x:c>
      <x:c r="H15" s="38" t="str">
        <x:v>Recommended if eggs are shown in inventory/breeding results.</x:v>
      </x:c>
    </x:row>
    <x:row r="16" ht="17.08984375" hidden="0" customHeight="1">
      <x:c r="A16" s="36" t="str">
        <x:v>Egg/Hatch</x:v>
      </x:c>
      <x:c r="B16" s="37" t="str">
        <x:v>Hatch Reveal</x:v>
      </x:c>
      <x:c r="C16" s="37" t="str">
        <x:v>Per creature</x:v>
      </x:c>
      <x:c r="D16" s="58" t="n">
        <x:f>Dashboard!B4</x:f>
        <x:v>8</x:v>
      </x:c>
      <x:c r="E16" s="37" t="str">
        <x:v>Medium</x:v>
      </x:c>
      <x:c r="F16" s="37" t="str">
        <x:v>Need to Start</x:v>
      </x:c>
      <x:c r="G16" s="37" t="str">
        <x:v>Recommended</x:v>
      </x:c>
      <x:c r="H16" s="38" t="str">
        <x:v>Recommended if hatch scene/result card has bespoke art.</x:v>
      </x:c>
    </x:row>
    <x:row r="17" ht="17.08984375" hidden="0" customHeight="1">
      <x:c r="A17" s="36" t="str">
        <x:v>Location/Backdrop</x:v>
      </x:c>
      <x:c r="B17" s="37" t="str">
        <x:v>Backdrop</x:v>
      </x:c>
      <x:c r="C17" s="37" t="str">
        <x:v>Breeding room / task locations / dialogue backdrops</x:v>
      </x:c>
      <x:c r="D17" s="58" t="n">
        <x:v>8</x:v>
      </x:c>
      <x:c r="E17" s="37" t="str">
        <x:v>Low</x:v>
      </x:c>
      <x:c r="F17" s="37" t="str">
        <x:v>Need to Start</x:v>
      </x:c>
      <x:c r="G17" s="37" t="str">
        <x:v>Optional</x:v>
      </x:c>
      <x:c r="H17" s="38" t="str">
        <x:v>Not character art, but often needed to avoid empty scene backgrounds.</x:v>
      </x:c>
    </x:row>
    <x:row r="18" ht="17.08984375" hidden="0" customHeight="1">
      <x:c r="A18" s="39" t="str">
        <x:v>Relationship Reward</x:v>
      </x:c>
      <x:c r="B18" s="40" t="str">
        <x:v>Reward Illustration</x:v>
      </x:c>
      <x:c r="C18" s="40" t="str">
        <x:v>Creature-specific relationship rewards</x:v>
      </x:c>
      <x:c r="D18" s="59" t="n">
        <x:f>Dashboard!B4*2</x:f>
        <x:v>16</x:v>
      </x:c>
      <x:c r="E18" s="40" t="str">
        <x:v>Low</x:v>
      </x:c>
      <x:c r="F18" s="40" t="str">
        <x:v>Need to Start</x:v>
      </x:c>
      <x:c r="G18" s="40" t="str">
        <x:v>Optional</x:v>
      </x:c>
      <x:c r="H18" s="41" t="str">
        <x:v>Only if creatures also give milestone reward art later.</x:v>
      </x:c>
    </x:row>
  </x:sheetData>
  <x:conditionalFormatting sqref="F2:F18">
    <x:cfRule type="expression" dxfId="3" priority="1">
      <x:formula>F2="Complete"</x:formula>
    </x:cfRule>
  </x:conditionalFormatting>
  <x:dataValidations count="2">
    <x:dataValidation type="list" allowBlank="1" showDropDown="0" sqref="E2:E18">
      <x:formula1>"Critical,High,Medium,Low"</x:formula1>
    </x:dataValidation>
    <x:dataValidation type="list" allowBlank="1" showDropDown="0" sqref="F2:F18">
      <x:formula1>"Need to Start,Working On,Complete,Blocked,Optional,Cut"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30" hidden="0" customWidth="1"/>
    <x:col min="11" max="11" width="16" hidden="0" customWidth="1"/>
  </x:cols>
  <x:sheetData>
    <x:row r="1" ht="17.08984375" hidden="0" customHeight="1">
      <x:c r="A1" s="102" t="str">
        <x:v>Status</x:v>
      </x:c>
      <x:c r="B1" s="103" t="str">
        <x:v>Priority</x:v>
      </x:c>
      <x:c r="C1" s="103" t="str">
        <x:v>Asset Group</x:v>
      </x:c>
      <x:c r="D1" s="103" t="str">
        <x:v>Asset Type</x:v>
      </x:c>
      <x:c r="E1" s="103" t="str">
        <x:v>Subject</x:v>
      </x:c>
      <x:c r="F1" s="103" t="str">
        <x:v>Role / Variant</x:v>
      </x:c>
      <x:c r="G1" s="103" t="str">
        <x:v>Scene / Task</x:v>
      </x:c>
      <x:c r="H1" s="103" t="str">
        <x:v>Pairing / Combo</x:v>
      </x:c>
      <x:c r="I1" s="103" t="str">
        <x:v>File Name</x:v>
      </x:c>
      <x:c r="J1" s="103" t="str">
        <x:v>Notes</x:v>
      </x:c>
      <x:c r="K1" s="104" t="str">
        <x:v>Owner</x:v>
      </x:c>
    </x:row>
    <x:row r="2" ht="17.08984375" hidden="0" customHeight="1">
      <x:c r="A2" s="91" t="str">
        <x:v>Need to Start</x:v>
      </x:c>
      <x:c r="B2" s="37" t="str">
        <x:v>Critical</x:v>
      </x:c>
      <x:c r="C2" s="37" t="str">
        <x:v>Creature UI</x:v>
      </x:c>
      <x:c r="D2" s="37" t="str">
        <x:v>Portrait</x:v>
      </x:c>
      <x:c r="E2" s="37" t="str">
        <x:v>Horse</x:v>
      </x:c>
      <x:c r="F2" s="37" t="str">
        <x:v>Default</x:v>
      </x:c>
      <x:c r="G2" s="37" t="str"/>
      <x:c r="H2" s="37" t="str"/>
      <x:c r="I2" s="37" t="str"/>
      <x:c r="J2" s="37" t="str">
        <x:v>Face-only icon</x:v>
      </x:c>
      <x:c r="K2" s="92" t="str"/>
    </x:row>
    <x:row r="3" ht="17.08984375" hidden="0" customHeight="1">
      <x:c r="A3" s="91" t="str">
        <x:v>Need to Start</x:v>
      </x:c>
      <x:c r="B3" s="37" t="str">
        <x:v>Critical</x:v>
      </x:c>
      <x:c r="C3" s="37" t="str">
        <x:v>Creature UI</x:v>
      </x:c>
      <x:c r="D3" s="37" t="str">
        <x:v>Full Body</x:v>
      </x:c>
      <x:c r="E3" s="37" t="str">
        <x:v>Horse</x:v>
      </x:c>
      <x:c r="F3" s="37" t="str">
        <x:v>Default</x:v>
      </x:c>
      <x:c r="G3" s="37" t="str"/>
      <x:c r="H3" s="37" t="str"/>
      <x:c r="I3" s="37" t="str"/>
      <x:c r="J3" s="37" t="str">
        <x:v>Viewer/profile art</x:v>
      </x:c>
      <x:c r="K3" s="92" t="str"/>
    </x:row>
    <x:row r="4" ht="17.08984375" hidden="0" customHeight="1">
      <x:c r="A4" s="91" t="str">
        <x:v>Need to Start</x:v>
      </x:c>
      <x:c r="B4" s="37" t="str">
        <x:v>Critical</x:v>
      </x:c>
      <x:c r="C4" s="37" t="str">
        <x:v>Breeding Preview</x:v>
      </x:c>
      <x:c r="D4" s="37" t="str">
        <x:v>Preview - Giver</x:v>
      </x:c>
      <x:c r="E4" s="37" t="str">
        <x:v>Horse</x:v>
      </x:c>
      <x:c r="F4" s="37" t="str">
        <x:v>Giver</x:v>
      </x:c>
      <x:c r="G4" s="37" t="str"/>
      <x:c r="H4" s="37" t="str"/>
      <x:c r="I4" s="37" t="str"/>
      <x:c r="J4" s="37" t="str">
        <x:v>Breeding preview still</x:v>
      </x:c>
      <x:c r="K4" s="92" t="str"/>
    </x:row>
    <x:row r="5" ht="17.08984375" hidden="0" customHeight="1">
      <x:c r="A5" s="91" t="str">
        <x:v>Need to Start</x:v>
      </x:c>
      <x:c r="B5" s="37" t="str">
        <x:v>Critical</x:v>
      </x:c>
      <x:c r="C5" s="37" t="str">
        <x:v>Breeding Preview</x:v>
      </x:c>
      <x:c r="D5" s="37" t="str">
        <x:v>Preview - Receiver</x:v>
      </x:c>
      <x:c r="E5" s="37" t="str">
        <x:v>Horse</x:v>
      </x:c>
      <x:c r="F5" s="37" t="str">
        <x:v>Receiver</x:v>
      </x:c>
      <x:c r="G5" s="37" t="str"/>
      <x:c r="H5" s="37" t="str"/>
      <x:c r="I5" s="37" t="str"/>
      <x:c r="J5" s="37" t="str">
        <x:v>Breeding preview still</x:v>
      </x:c>
      <x:c r="K5" s="92" t="str"/>
    </x:row>
    <x:row r="6" ht="17.08984375" hidden="0" customHeight="1">
      <x:c r="A6" s="91" t="str">
        <x:v>Need to Start</x:v>
      </x:c>
      <x:c r="B6" s="37" t="str">
        <x:v>Critical</x:v>
      </x:c>
      <x:c r="C6" s="37" t="str">
        <x:v>Breeding Scene</x:v>
      </x:c>
      <x:c r="D6" s="37" t="str">
        <x:v>Breeding Scene</x:v>
      </x:c>
      <x:c r="E6" s="37" t="str">
        <x:v>Horse</x:v>
      </x:c>
      <x:c r="F6" s="37" t="str">
        <x:v>Receiver</x:v>
      </x:c>
      <x:c r="G6" s="37" t="str"/>
      <x:c r="H6" s="37" t="str">
        <x:v>Player giver</x:v>
      </x:c>
      <x:c r="I6" s="37" t="str"/>
      <x:c r="J6" s="37" t="str">
        <x:v>Directional scene</x:v>
      </x:c>
      <x:c r="K6" s="92" t="str"/>
    </x:row>
    <x:row r="7" ht="17.08984375" hidden="0" customHeight="1">
      <x:c r="A7" s="91" t="str">
        <x:v>Need to Start</x:v>
      </x:c>
      <x:c r="B7" s="37" t="str">
        <x:v>High</x:v>
      </x:c>
      <x:c r="C7" s="37" t="str">
        <x:v>Task Scene</x:v>
      </x:c>
      <x:c r="D7" s="37" t="str">
        <x:v>Task Scene</x:v>
      </x:c>
      <x:c r="E7" s="37" t="str">
        <x:v>Horse</x:v>
      </x:c>
      <x:c r="F7" s="37" t="str"/>
      <x:c r="G7" s="37" t="str">
        <x:v>Clean House</x:v>
      </x:c>
      <x:c r="H7" s="37" t="str"/>
      <x:c r="I7" s="37" t="str"/>
      <x:c r="J7" s="37" t="str">
        <x:v>Task action image</x:v>
      </x:c>
      <x:c r="K7" s="92" t="str"/>
    </x:row>
    <x:row r="8" ht="17.08984375" hidden="0" customHeight="1">
      <x:c r="A8" s="91" t="str">
        <x:v>Need to Start</x:v>
      </x:c>
      <x:c r="B8" s="37" t="str">
        <x:v>Critical</x:v>
      </x:c>
      <x:c r="C8" s="37" t="str">
        <x:v>NPC UI</x:v>
      </x:c>
      <x:c r="D8" s="37" t="str">
        <x:v>Portrait</x:v>
      </x:c>
      <x:c r="E8" s="37" t="str">
        <x:v>Mayor</x:v>
      </x:c>
      <x:c r="F8" s="37" t="str">
        <x:v>Default</x:v>
      </x:c>
      <x:c r="G8" s="37" t="str"/>
      <x:c r="H8" s="37" t="str"/>
      <x:c r="I8" s="37" t="str"/>
      <x:c r="J8" s="37" t="str">
        <x:v>Dialogue portrait</x:v>
      </x:c>
      <x:c r="K8" s="92" t="str"/>
    </x:row>
    <x:row r="9" ht="17.08984375" hidden="0" customHeight="1">
      <x:c r="A9" s="91" t="str">
        <x:v>Need to Start</x:v>
      </x:c>
      <x:c r="B9" s="37" t="str">
        <x:v>High</x:v>
      </x:c>
      <x:c r="C9" s="37" t="str">
        <x:v>Relationship Reward</x:v>
      </x:c>
      <x:c r="D9" s="37" t="str">
        <x:v>Relationship CG</x:v>
      </x:c>
      <x:c r="E9" s="37" t="str">
        <x:v>Mayor</x:v>
      </x:c>
      <x:c r="F9" s="37" t="str">
        <x:v>Relationship Lv2</x:v>
      </x:c>
      <x:c r="G9" s="37" t="str"/>
      <x:c r="H9" s="37" t="str"/>
      <x:c r="I9" s="37" t="str"/>
      <x:c r="J9" s="37" t="str">
        <x:v>Reward image</x:v>
      </x:c>
      <x:c r="K9" s="92" t="str"/>
    </x:row>
    <x:row r="10" ht="17.08984375" hidden="0" customHeight="1">
      <x:c r="A10" s="91" t="str"/>
      <x:c r="B10" s="37" t="str"/>
      <x:c r="C10" s="37" t="str"/>
      <x:c r="D10" s="37" t="str"/>
      <x:c r="E10" s="37" t="str"/>
      <x:c r="F10" s="37" t="str"/>
      <x:c r="G10" s="37" t="str"/>
      <x:c r="H10" s="37" t="str"/>
      <x:c r="I10" s="37" t="str"/>
      <x:c r="J10" s="37" t="str"/>
      <x:c r="K10" s="92" t="str"/>
    </x:row>
    <x:row r="11" ht="17.08984375" hidden="0" customHeight="1">
      <x:c r="A11" s="91" t="str"/>
      <x:c r="B11" s="37" t="str"/>
      <x:c r="C11" s="37" t="str"/>
      <x:c r="D11" s="37" t="str"/>
      <x:c r="E11" s="37" t="str"/>
      <x:c r="F11" s="37" t="str"/>
      <x:c r="G11" s="37" t="str"/>
      <x:c r="H11" s="37" t="str"/>
      <x:c r="I11" s="37" t="str"/>
      <x:c r="J11" s="37" t="str"/>
      <x:c r="K11" s="92" t="str"/>
    </x:row>
    <x:row r="12" ht="17.08984375" hidden="0" customHeight="1">
      <x:c r="A12" s="91" t="str"/>
      <x:c r="B12" s="37" t="str"/>
      <x:c r="C12" s="37" t="str"/>
      <x:c r="D12" s="37" t="str"/>
      <x:c r="E12" s="37" t="str"/>
      <x:c r="F12" s="37" t="str"/>
      <x:c r="G12" s="37" t="str"/>
      <x:c r="H12" s="37" t="str"/>
      <x:c r="I12" s="37" t="str"/>
      <x:c r="J12" s="37" t="str"/>
      <x:c r="K12" s="92" t="str"/>
    </x:row>
    <x:row r="13" ht="17.08984375" hidden="0" customHeight="1">
      <x:c r="A13" s="91" t="str"/>
      <x:c r="B13" s="37" t="str"/>
      <x:c r="C13" s="37" t="str"/>
      <x:c r="D13" s="37" t="str"/>
      <x:c r="E13" s="37" t="str"/>
      <x:c r="F13" s="37" t="str"/>
      <x:c r="G13" s="37" t="str"/>
      <x:c r="H13" s="37" t="str"/>
      <x:c r="I13" s="37" t="str"/>
      <x:c r="J13" s="37" t="str"/>
      <x:c r="K13" s="92" t="str"/>
    </x:row>
    <x:row r="14" ht="17.08984375" hidden="0" customHeight="1">
      <x:c r="A14" s="91" t="str"/>
      <x:c r="B14" s="37" t="str"/>
      <x:c r="C14" s="37" t="str"/>
      <x:c r="D14" s="37" t="str"/>
      <x:c r="E14" s="37" t="str"/>
      <x:c r="F14" s="37" t="str"/>
      <x:c r="G14" s="37" t="str"/>
      <x:c r="H14" s="37" t="str"/>
      <x:c r="I14" s="37" t="str"/>
      <x:c r="J14" s="37" t="str"/>
      <x:c r="K14" s="92" t="str"/>
    </x:row>
    <x:row r="15" ht="17.08984375" hidden="0" customHeight="1">
      <x:c r="A15" s="91" t="str"/>
      <x:c r="B15" s="37" t="str"/>
      <x:c r="C15" s="37" t="str"/>
      <x:c r="D15" s="37" t="str"/>
      <x:c r="E15" s="37" t="str"/>
      <x:c r="F15" s="37" t="str"/>
      <x:c r="G15" s="37" t="str"/>
      <x:c r="H15" s="37" t="str"/>
      <x:c r="I15" s="37" t="str"/>
      <x:c r="J15" s="37" t="str"/>
      <x:c r="K15" s="92" t="str"/>
    </x:row>
    <x:row r="16">
      <x:c r="A16" s="91" t="str"/>
      <x:c r="B16" s="37" t="str"/>
      <x:c r="C16" s="37" t="str"/>
      <x:c r="D16" s="37" t="str"/>
      <x:c r="E16" s="37" t="str"/>
      <x:c r="F16" s="37" t="str"/>
      <x:c r="G16" s="37" t="str"/>
      <x:c r="H16" s="37" t="str"/>
      <x:c r="I16" s="37" t="str"/>
      <x:c r="J16" s="37" t="str"/>
      <x:c r="K16" s="92" t="str"/>
    </x:row>
    <x:row r="17">
      <x:c r="A17" s="91" t="str"/>
      <x:c r="B17" s="37" t="str"/>
      <x:c r="C17" s="37" t="str"/>
      <x:c r="D17" s="37" t="str"/>
      <x:c r="E17" s="37" t="str"/>
      <x:c r="F17" s="37" t="str"/>
      <x:c r="G17" s="37" t="str"/>
      <x:c r="H17" s="37" t="str"/>
      <x:c r="I17" s="37" t="str"/>
      <x:c r="J17" s="37" t="str"/>
      <x:c r="K17" s="92" t="str"/>
    </x:row>
    <x:row r="18">
      <x:c r="A18" s="91" t="str"/>
      <x:c r="B18" s="37" t="str"/>
      <x:c r="C18" s="37" t="str"/>
      <x:c r="D18" s="37" t="str"/>
      <x:c r="E18" s="37" t="str"/>
      <x:c r="F18" s="37" t="str"/>
      <x:c r="G18" s="37" t="str"/>
      <x:c r="H18" s="37" t="str"/>
      <x:c r="I18" s="37" t="str"/>
      <x:c r="J18" s="37" t="str"/>
      <x:c r="K18" s="92" t="str"/>
    </x:row>
    <x:row r="19">
      <x:c r="A19" s="91" t="str"/>
      <x:c r="B19" s="37" t="str"/>
      <x:c r="C19" s="37" t="str"/>
      <x:c r="D19" s="37" t="str"/>
      <x:c r="E19" s="37" t="str"/>
      <x:c r="F19" s="37" t="str"/>
      <x:c r="G19" s="37" t="str"/>
      <x:c r="H19" s="37" t="str"/>
      <x:c r="I19" s="37" t="str"/>
      <x:c r="J19" s="37" t="str"/>
      <x:c r="K19" s="92" t="str"/>
    </x:row>
    <x:row r="20">
      <x:c r="A20" s="91" t="str"/>
      <x:c r="B20" s="37" t="str"/>
      <x:c r="C20" s="37" t="str"/>
      <x:c r="D20" s="37" t="str"/>
      <x:c r="E20" s="37" t="str"/>
      <x:c r="F20" s="37" t="str"/>
      <x:c r="G20" s="37" t="str"/>
      <x:c r="H20" s="37" t="str"/>
      <x:c r="I20" s="37" t="str"/>
      <x:c r="J20" s="37" t="str"/>
      <x:c r="K20" s="92" t="str"/>
    </x:row>
    <x:row r="21">
      <x:c r="A21" s="91" t="str"/>
      <x:c r="B21" s="37" t="str"/>
      <x:c r="C21" s="37" t="str"/>
      <x:c r="D21" s="37" t="str"/>
      <x:c r="E21" s="37" t="str"/>
      <x:c r="F21" s="37" t="str"/>
      <x:c r="G21" s="37" t="str"/>
      <x:c r="H21" s="37" t="str"/>
      <x:c r="I21" s="37" t="str"/>
      <x:c r="J21" s="37" t="str"/>
      <x:c r="K21" s="92" t="str"/>
    </x:row>
    <x:row r="22">
      <x:c r="A22" s="91" t="str"/>
      <x:c r="B22" s="37" t="str"/>
      <x:c r="C22" s="37" t="str"/>
      <x:c r="D22" s="37" t="str"/>
      <x:c r="E22" s="37" t="str"/>
      <x:c r="F22" s="37" t="str"/>
      <x:c r="G22" s="37" t="str"/>
      <x:c r="H22" s="37" t="str"/>
      <x:c r="I22" s="37" t="str"/>
      <x:c r="J22" s="37" t="str"/>
      <x:c r="K22" s="92" t="str"/>
    </x:row>
    <x:row r="23">
      <x:c r="A23" s="91" t="str"/>
      <x:c r="B23" s="37" t="str"/>
      <x:c r="C23" s="37" t="str"/>
      <x:c r="D23" s="37" t="str"/>
      <x:c r="E23" s="37" t="str"/>
      <x:c r="F23" s="37" t="str"/>
      <x:c r="G23" s="37" t="str"/>
      <x:c r="H23" s="37" t="str"/>
      <x:c r="I23" s="37" t="str"/>
      <x:c r="J23" s="37" t="str"/>
      <x:c r="K23" s="92" t="str"/>
    </x:row>
    <x:row r="24">
      <x:c r="A24" s="91" t="str"/>
      <x:c r="B24" s="37" t="str"/>
      <x:c r="C24" s="37" t="str"/>
      <x:c r="D24" s="37" t="str"/>
      <x:c r="E24" s="37" t="str"/>
      <x:c r="F24" s="37" t="str"/>
      <x:c r="G24" s="37" t="str"/>
      <x:c r="H24" s="37" t="str"/>
      <x:c r="I24" s="37" t="str"/>
      <x:c r="J24" s="37" t="str"/>
      <x:c r="K24" s="92" t="str"/>
    </x:row>
    <x:row r="25">
      <x:c r="A25" s="91" t="str"/>
      <x:c r="B25" s="37" t="str"/>
      <x:c r="C25" s="37" t="str"/>
      <x:c r="D25" s="37" t="str"/>
      <x:c r="E25" s="37" t="str"/>
      <x:c r="F25" s="37" t="str"/>
      <x:c r="G25" s="37" t="str"/>
      <x:c r="H25" s="37" t="str"/>
      <x:c r="I25" s="37" t="str"/>
      <x:c r="J25" s="37" t="str"/>
      <x:c r="K25" s="92" t="str"/>
    </x:row>
    <x:row r="26">
      <x:c r="A26" s="91" t="str"/>
      <x:c r="B26" s="37" t="str"/>
      <x:c r="C26" s="37" t="str"/>
      <x:c r="D26" s="37" t="str"/>
      <x:c r="E26" s="37" t="str"/>
      <x:c r="F26" s="37" t="str"/>
      <x:c r="G26" s="37" t="str"/>
      <x:c r="H26" s="37" t="str"/>
      <x:c r="I26" s="37" t="str"/>
      <x:c r="J26" s="37" t="str"/>
      <x:c r="K26" s="92" t="str"/>
    </x:row>
    <x:row r="27">
      <x:c r="A27" s="91" t="str"/>
      <x:c r="B27" s="37" t="str"/>
      <x:c r="C27" s="37" t="str"/>
      <x:c r="D27" s="37" t="str"/>
      <x:c r="E27" s="37" t="str"/>
      <x:c r="F27" s="37" t="str"/>
      <x:c r="G27" s="37" t="str"/>
      <x:c r="H27" s="37" t="str"/>
      <x:c r="I27" s="37" t="str"/>
      <x:c r="J27" s="37" t="str"/>
      <x:c r="K27" s="92" t="str"/>
    </x:row>
    <x:row r="28">
      <x:c r="A28" s="91" t="str"/>
      <x:c r="B28" s="37" t="str"/>
      <x:c r="C28" s="37" t="str"/>
      <x:c r="D28" s="37" t="str"/>
      <x:c r="E28" s="37" t="str"/>
      <x:c r="F28" s="37" t="str"/>
      <x:c r="G28" s="37" t="str"/>
      <x:c r="H28" s="37" t="str"/>
      <x:c r="I28" s="37" t="str"/>
      <x:c r="J28" s="37" t="str"/>
      <x:c r="K28" s="92" t="str"/>
    </x:row>
    <x:row r="29">
      <x:c r="A29" s="91" t="str"/>
      <x:c r="B29" s="37" t="str"/>
      <x:c r="C29" s="37" t="str"/>
      <x:c r="D29" s="37" t="str"/>
      <x:c r="E29" s="37" t="str"/>
      <x:c r="F29" s="37" t="str"/>
      <x:c r="G29" s="37" t="str"/>
      <x:c r="H29" s="37" t="str"/>
      <x:c r="I29" s="37" t="str"/>
      <x:c r="J29" s="37" t="str"/>
      <x:c r="K29" s="92" t="str"/>
    </x:row>
    <x:row r="30">
      <x:c r="A30" s="91" t="str"/>
      <x:c r="B30" s="37" t="str"/>
      <x:c r="C30" s="37" t="str"/>
      <x:c r="D30" s="37" t="str"/>
      <x:c r="E30" s="37" t="str"/>
      <x:c r="F30" s="37" t="str"/>
      <x:c r="G30" s="37" t="str"/>
      <x:c r="H30" s="37" t="str"/>
      <x:c r="I30" s="37" t="str"/>
      <x:c r="J30" s="37" t="str"/>
      <x:c r="K30" s="92" t="str"/>
    </x:row>
    <x:row r="31">
      <x:c r="A31" s="91" t="str"/>
      <x:c r="B31" s="37" t="str"/>
      <x:c r="C31" s="37" t="str"/>
      <x:c r="D31" s="37" t="str"/>
      <x:c r="E31" s="37" t="str"/>
      <x:c r="F31" s="37" t="str"/>
      <x:c r="G31" s="37" t="str"/>
      <x:c r="H31" s="37" t="str"/>
      <x:c r="I31" s="37" t="str"/>
      <x:c r="J31" s="37" t="str"/>
      <x:c r="K31" s="92" t="str"/>
    </x:row>
    <x:row r="32">
      <x:c r="A32" s="91" t="str"/>
      <x:c r="B32" s="37" t="str"/>
      <x:c r="C32" s="37" t="str"/>
      <x:c r="D32" s="37" t="str"/>
      <x:c r="E32" s="37" t="str"/>
      <x:c r="F32" s="37" t="str"/>
      <x:c r="G32" s="37" t="str"/>
      <x:c r="H32" s="37" t="str"/>
      <x:c r="I32" s="37" t="str"/>
      <x:c r="J32" s="37" t="str"/>
      <x:c r="K32" s="92" t="str"/>
    </x:row>
    <x:row r="33">
      <x:c r="A33" s="91" t="str"/>
      <x:c r="B33" s="37" t="str"/>
      <x:c r="C33" s="37" t="str"/>
      <x:c r="D33" s="37" t="str"/>
      <x:c r="E33" s="37" t="str"/>
      <x:c r="F33" s="37" t="str"/>
      <x:c r="G33" s="37" t="str"/>
      <x:c r="H33" s="37" t="str"/>
      <x:c r="I33" s="37" t="str"/>
      <x:c r="J33" s="37" t="str"/>
      <x:c r="K33" s="92" t="str"/>
    </x:row>
    <x:row r="34">
      <x:c r="A34" s="91" t="str"/>
      <x:c r="B34" s="37" t="str"/>
      <x:c r="C34" s="37" t="str"/>
      <x:c r="D34" s="37" t="str"/>
      <x:c r="E34" s="37" t="str"/>
      <x:c r="F34" s="37" t="str"/>
      <x:c r="G34" s="37" t="str"/>
      <x:c r="H34" s="37" t="str"/>
      <x:c r="I34" s="37" t="str"/>
      <x:c r="J34" s="37" t="str"/>
      <x:c r="K34" s="92" t="str"/>
    </x:row>
    <x:row r="35">
      <x:c r="A35" s="91" t="str"/>
      <x:c r="B35" s="37" t="str"/>
      <x:c r="C35" s="37" t="str"/>
      <x:c r="D35" s="37" t="str"/>
      <x:c r="E35" s="37" t="str"/>
      <x:c r="F35" s="37" t="str"/>
      <x:c r="G35" s="37" t="str"/>
      <x:c r="H35" s="37" t="str"/>
      <x:c r="I35" s="37" t="str"/>
      <x:c r="J35" s="37" t="str"/>
      <x:c r="K35" s="92" t="str"/>
    </x:row>
    <x:row r="36">
      <x:c r="A36" s="91" t="str"/>
      <x:c r="B36" s="37" t="str"/>
      <x:c r="C36" s="37" t="str"/>
      <x:c r="D36" s="37" t="str"/>
      <x:c r="E36" s="37" t="str"/>
      <x:c r="F36" s="37" t="str"/>
      <x:c r="G36" s="37" t="str"/>
      <x:c r="H36" s="37" t="str"/>
      <x:c r="I36" s="37" t="str"/>
      <x:c r="J36" s="37" t="str"/>
      <x:c r="K36" s="92" t="str"/>
    </x:row>
    <x:row r="37">
      <x:c r="A37" s="91" t="str"/>
      <x:c r="B37" s="37" t="str"/>
      <x:c r="C37" s="37" t="str"/>
      <x:c r="D37" s="37" t="str"/>
      <x:c r="E37" s="37" t="str"/>
      <x:c r="F37" s="37" t="str"/>
      <x:c r="G37" s="37" t="str"/>
      <x:c r="H37" s="37" t="str"/>
      <x:c r="I37" s="37" t="str"/>
      <x:c r="J37" s="37" t="str"/>
      <x:c r="K37" s="92" t="str"/>
    </x:row>
    <x:row r="38">
      <x:c r="A38" s="91" t="str"/>
      <x:c r="B38" s="37" t="str"/>
      <x:c r="C38" s="37" t="str"/>
      <x:c r="D38" s="37" t="str"/>
      <x:c r="E38" s="37" t="str"/>
      <x:c r="F38" s="37" t="str"/>
      <x:c r="G38" s="37" t="str"/>
      <x:c r="H38" s="37" t="str"/>
      <x:c r="I38" s="37" t="str"/>
      <x:c r="J38" s="37" t="str"/>
      <x:c r="K38" s="92" t="str"/>
    </x:row>
    <x:row r="39">
      <x:c r="A39" s="91" t="str"/>
      <x:c r="B39" s="37" t="str"/>
      <x:c r="C39" s="37" t="str"/>
      <x:c r="D39" s="37" t="str"/>
      <x:c r="E39" s="37" t="str"/>
      <x:c r="F39" s="37" t="str"/>
      <x:c r="G39" s="37" t="str"/>
      <x:c r="H39" s="37" t="str"/>
      <x:c r="I39" s="37" t="str"/>
      <x:c r="J39" s="37" t="str"/>
      <x:c r="K39" s="92" t="str"/>
    </x:row>
    <x:row r="40">
      <x:c r="A40" s="91" t="str"/>
      <x:c r="B40" s="37" t="str"/>
      <x:c r="C40" s="37" t="str"/>
      <x:c r="D40" s="37" t="str"/>
      <x:c r="E40" s="37" t="str"/>
      <x:c r="F40" s="37" t="str"/>
      <x:c r="G40" s="37" t="str"/>
      <x:c r="H40" s="37" t="str"/>
      <x:c r="I40" s="37" t="str"/>
      <x:c r="J40" s="37" t="str"/>
      <x:c r="K40" s="92" t="str"/>
    </x:row>
    <x:row r="41">
      <x:c r="A41" s="91" t="str"/>
      <x:c r="B41" s="37" t="str"/>
      <x:c r="C41" s="37" t="str"/>
      <x:c r="D41" s="37" t="str"/>
      <x:c r="E41" s="37" t="str"/>
      <x:c r="F41" s="37" t="str"/>
      <x:c r="G41" s="37" t="str"/>
      <x:c r="H41" s="37" t="str"/>
      <x:c r="I41" s="37" t="str"/>
      <x:c r="J41" s="37" t="str"/>
      <x:c r="K41" s="92" t="str"/>
    </x:row>
    <x:row r="42">
      <x:c r="A42" s="91" t="str"/>
      <x:c r="B42" s="37" t="str"/>
      <x:c r="C42" s="37" t="str"/>
      <x:c r="D42" s="37" t="str"/>
      <x:c r="E42" s="37" t="str"/>
      <x:c r="F42" s="37" t="str"/>
      <x:c r="G42" s="37" t="str"/>
      <x:c r="H42" s="37" t="str"/>
      <x:c r="I42" s="37" t="str"/>
      <x:c r="J42" s="37" t="str"/>
      <x:c r="K42" s="92" t="str"/>
    </x:row>
    <x:row r="43">
      <x:c r="A43" s="91" t="str"/>
      <x:c r="B43" s="37" t="str"/>
      <x:c r="C43" s="37" t="str"/>
      <x:c r="D43" s="37" t="str"/>
      <x:c r="E43" s="37" t="str"/>
      <x:c r="F43" s="37" t="str"/>
      <x:c r="G43" s="37" t="str"/>
      <x:c r="H43" s="37" t="str"/>
      <x:c r="I43" s="37" t="str"/>
      <x:c r="J43" s="37" t="str"/>
      <x:c r="K43" s="92" t="str"/>
    </x:row>
    <x:row r="44">
      <x:c r="A44" s="91" t="str"/>
      <x:c r="B44" s="37" t="str"/>
      <x:c r="C44" s="37" t="str"/>
      <x:c r="D44" s="37" t="str"/>
      <x:c r="E44" s="37" t="str"/>
      <x:c r="F44" s="37" t="str"/>
      <x:c r="G44" s="37" t="str"/>
      <x:c r="H44" s="37" t="str"/>
      <x:c r="I44" s="37" t="str"/>
      <x:c r="J44" s="37" t="str"/>
      <x:c r="K44" s="92" t="str"/>
    </x:row>
    <x:row r="45">
      <x:c r="A45" s="91" t="str"/>
      <x:c r="B45" s="37" t="str"/>
      <x:c r="C45" s="37" t="str"/>
      <x:c r="D45" s="37" t="str"/>
      <x:c r="E45" s="37" t="str"/>
      <x:c r="F45" s="37" t="str"/>
      <x:c r="G45" s="37" t="str"/>
      <x:c r="H45" s="37" t="str"/>
      <x:c r="I45" s="37" t="str"/>
      <x:c r="J45" s="37" t="str"/>
      <x:c r="K45" s="92" t="str"/>
    </x:row>
    <x:row r="46">
      <x:c r="A46" s="91" t="str"/>
      <x:c r="B46" s="37" t="str"/>
      <x:c r="C46" s="37" t="str"/>
      <x:c r="D46" s="37" t="str"/>
      <x:c r="E46" s="37" t="str"/>
      <x:c r="F46" s="37" t="str"/>
      <x:c r="G46" s="37" t="str"/>
      <x:c r="H46" s="37" t="str"/>
      <x:c r="I46" s="37" t="str"/>
      <x:c r="J46" s="37" t="str"/>
      <x:c r="K46" s="92" t="str"/>
    </x:row>
    <x:row r="47">
      <x:c r="A47" s="91" t="str"/>
      <x:c r="B47" s="37" t="str"/>
      <x:c r="C47" s="37" t="str"/>
      <x:c r="D47" s="37" t="str"/>
      <x:c r="E47" s="37" t="str"/>
      <x:c r="F47" s="37" t="str"/>
      <x:c r="G47" s="37" t="str"/>
      <x:c r="H47" s="37" t="str"/>
      <x:c r="I47" s="37" t="str"/>
      <x:c r="J47" s="37" t="str"/>
      <x:c r="K47" s="92" t="str"/>
    </x:row>
    <x:row r="48">
      <x:c r="A48" s="91" t="str"/>
      <x:c r="B48" s="37" t="str"/>
      <x:c r="C48" s="37" t="str"/>
      <x:c r="D48" s="37" t="str"/>
      <x:c r="E48" s="37" t="str"/>
      <x:c r="F48" s="37" t="str"/>
      <x:c r="G48" s="37" t="str"/>
      <x:c r="H48" s="37" t="str"/>
      <x:c r="I48" s="37" t="str"/>
      <x:c r="J48" s="37" t="str"/>
      <x:c r="K48" s="92" t="str"/>
    </x:row>
    <x:row r="49">
      <x:c r="A49" s="91" t="str"/>
      <x:c r="B49" s="37" t="str"/>
      <x:c r="C49" s="37" t="str"/>
      <x:c r="D49" s="37" t="str"/>
      <x:c r="E49" s="37" t="str"/>
      <x:c r="F49" s="37" t="str"/>
      <x:c r="G49" s="37" t="str"/>
      <x:c r="H49" s="37" t="str"/>
      <x:c r="I49" s="37" t="str"/>
      <x:c r="J49" s="37" t="str"/>
      <x:c r="K49" s="92" t="str"/>
    </x:row>
    <x:row r="50">
      <x:c r="A50" s="91" t="str"/>
      <x:c r="B50" s="37" t="str"/>
      <x:c r="C50" s="37" t="str"/>
      <x:c r="D50" s="37" t="str"/>
      <x:c r="E50" s="37" t="str"/>
      <x:c r="F50" s="37" t="str"/>
      <x:c r="G50" s="37" t="str"/>
      <x:c r="H50" s="37" t="str"/>
      <x:c r="I50" s="37" t="str"/>
      <x:c r="J50" s="37" t="str"/>
      <x:c r="K50" s="92" t="str"/>
    </x:row>
    <x:row r="51">
      <x:c r="A51" s="91" t="str"/>
      <x:c r="B51" s="37" t="str"/>
      <x:c r="C51" s="37" t="str"/>
      <x:c r="D51" s="37" t="str"/>
      <x:c r="E51" s="37" t="str"/>
      <x:c r="F51" s="37" t="str"/>
      <x:c r="G51" s="37" t="str"/>
      <x:c r="H51" s="37" t="str"/>
      <x:c r="I51" s="37" t="str"/>
      <x:c r="J51" s="37" t="str"/>
      <x:c r="K51" s="92" t="str"/>
    </x:row>
    <x:row r="52">
      <x:c r="A52" s="91" t="str"/>
      <x:c r="B52" s="37" t="str"/>
      <x:c r="C52" s="37" t="str"/>
      <x:c r="D52" s="37" t="str"/>
      <x:c r="E52" s="37" t="str"/>
      <x:c r="F52" s="37" t="str"/>
      <x:c r="G52" s="37" t="str"/>
      <x:c r="H52" s="37" t="str"/>
      <x:c r="I52" s="37" t="str"/>
      <x:c r="J52" s="37" t="str"/>
      <x:c r="K52" s="92" t="str"/>
    </x:row>
    <x:row r="53">
      <x:c r="A53" s="91" t="str"/>
      <x:c r="B53" s="37" t="str"/>
      <x:c r="C53" s="37" t="str"/>
      <x:c r="D53" s="37" t="str"/>
      <x:c r="E53" s="37" t="str"/>
      <x:c r="F53" s="37" t="str"/>
      <x:c r="G53" s="37" t="str"/>
      <x:c r="H53" s="37" t="str"/>
      <x:c r="I53" s="37" t="str"/>
      <x:c r="J53" s="37" t="str"/>
      <x:c r="K53" s="92" t="str"/>
    </x:row>
    <x:row r="54">
      <x:c r="A54" s="91" t="str"/>
      <x:c r="B54" s="37" t="str"/>
      <x:c r="C54" s="37" t="str"/>
      <x:c r="D54" s="37" t="str"/>
      <x:c r="E54" s="37" t="str"/>
      <x:c r="F54" s="37" t="str"/>
      <x:c r="G54" s="37" t="str"/>
      <x:c r="H54" s="37" t="str"/>
      <x:c r="I54" s="37" t="str"/>
      <x:c r="J54" s="37" t="str"/>
      <x:c r="K54" s="92" t="str"/>
    </x:row>
    <x:row r="55">
      <x:c r="A55" s="91" t="str"/>
      <x:c r="B55" s="37" t="str"/>
      <x:c r="C55" s="37" t="str"/>
      <x:c r="D55" s="37" t="str"/>
      <x:c r="E55" s="37" t="str"/>
      <x:c r="F55" s="37" t="str"/>
      <x:c r="G55" s="37" t="str"/>
      <x:c r="H55" s="37" t="str"/>
      <x:c r="I55" s="37" t="str"/>
      <x:c r="J55" s="37" t="str"/>
      <x:c r="K55" s="92" t="str"/>
    </x:row>
    <x:row r="56">
      <x:c r="A56" s="91" t="str"/>
      <x:c r="B56" s="37" t="str"/>
      <x:c r="C56" s="37" t="str"/>
      <x:c r="D56" s="37" t="str"/>
      <x:c r="E56" s="37" t="str"/>
      <x:c r="F56" s="37" t="str"/>
      <x:c r="G56" s="37" t="str"/>
      <x:c r="H56" s="37" t="str"/>
      <x:c r="I56" s="37" t="str"/>
      <x:c r="J56" s="37" t="str"/>
      <x:c r="K56" s="92" t="str"/>
    </x:row>
    <x:row r="57">
      <x:c r="A57" s="91" t="str"/>
      <x:c r="B57" s="37" t="str"/>
      <x:c r="C57" s="37" t="str"/>
      <x:c r="D57" s="37" t="str"/>
      <x:c r="E57" s="37" t="str"/>
      <x:c r="F57" s="37" t="str"/>
      <x:c r="G57" s="37" t="str"/>
      <x:c r="H57" s="37" t="str"/>
      <x:c r="I57" s="37" t="str"/>
      <x:c r="J57" s="37" t="str"/>
      <x:c r="K57" s="92" t="str"/>
    </x:row>
    <x:row r="58">
      <x:c r="A58" s="91" t="str"/>
      <x:c r="B58" s="37" t="str"/>
      <x:c r="C58" s="37" t="str"/>
      <x:c r="D58" s="37" t="str"/>
      <x:c r="E58" s="37" t="str"/>
      <x:c r="F58" s="37" t="str"/>
      <x:c r="G58" s="37" t="str"/>
      <x:c r="H58" s="37" t="str"/>
      <x:c r="I58" s="37" t="str"/>
      <x:c r="J58" s="37" t="str"/>
      <x:c r="K58" s="92" t="str"/>
    </x:row>
    <x:row r="59">
      <x:c r="A59" s="91" t="str"/>
      <x:c r="B59" s="37" t="str"/>
      <x:c r="C59" s="37" t="str"/>
      <x:c r="D59" s="37" t="str"/>
      <x:c r="E59" s="37" t="str"/>
      <x:c r="F59" s="37" t="str"/>
      <x:c r="G59" s="37" t="str"/>
      <x:c r="H59" s="37" t="str"/>
      <x:c r="I59" s="37" t="str"/>
      <x:c r="J59" s="37" t="str"/>
      <x:c r="K59" s="92" t="str"/>
    </x:row>
    <x:row r="60">
      <x:c r="A60" s="91" t="str"/>
      <x:c r="B60" s="37" t="str"/>
      <x:c r="C60" s="37" t="str"/>
      <x:c r="D60" s="37" t="str"/>
      <x:c r="E60" s="37" t="str"/>
      <x:c r="F60" s="37" t="str"/>
      <x:c r="G60" s="37" t="str"/>
      <x:c r="H60" s="37" t="str"/>
      <x:c r="I60" s="37" t="str"/>
      <x:c r="J60" s="37" t="str"/>
      <x:c r="K60" s="92" t="str"/>
    </x:row>
    <x:row r="61">
      <x:c r="A61" s="91" t="str"/>
      <x:c r="B61" s="37" t="str"/>
      <x:c r="C61" s="37" t="str"/>
      <x:c r="D61" s="37" t="str"/>
      <x:c r="E61" s="37" t="str"/>
      <x:c r="F61" s="37" t="str"/>
      <x:c r="G61" s="37" t="str"/>
      <x:c r="H61" s="37" t="str"/>
      <x:c r="I61" s="37" t="str"/>
      <x:c r="J61" s="37" t="str"/>
      <x:c r="K61" s="92" t="str"/>
    </x:row>
    <x:row r="62">
      <x:c r="A62" s="91" t="str"/>
      <x:c r="B62" s="37" t="str"/>
      <x:c r="C62" s="37" t="str"/>
      <x:c r="D62" s="37" t="str"/>
      <x:c r="E62" s="37" t="str"/>
      <x:c r="F62" s="37" t="str"/>
      <x:c r="G62" s="37" t="str"/>
      <x:c r="H62" s="37" t="str"/>
      <x:c r="I62" s="37" t="str"/>
      <x:c r="J62" s="37" t="str"/>
      <x:c r="K62" s="92" t="str"/>
    </x:row>
    <x:row r="63">
      <x:c r="A63" s="91" t="str"/>
      <x:c r="B63" s="37" t="str"/>
      <x:c r="C63" s="37" t="str"/>
      <x:c r="D63" s="37" t="str"/>
      <x:c r="E63" s="37" t="str"/>
      <x:c r="F63" s="37" t="str"/>
      <x:c r="G63" s="37" t="str"/>
      <x:c r="H63" s="37" t="str"/>
      <x:c r="I63" s="37" t="str"/>
      <x:c r="J63" s="37" t="str"/>
      <x:c r="K63" s="92" t="str"/>
    </x:row>
    <x:row r="64">
      <x:c r="A64" s="91" t="str"/>
      <x:c r="B64" s="37" t="str"/>
      <x:c r="C64" s="37" t="str"/>
      <x:c r="D64" s="37" t="str"/>
      <x:c r="E64" s="37" t="str"/>
      <x:c r="F64" s="37" t="str"/>
      <x:c r="G64" s="37" t="str"/>
      <x:c r="H64" s="37" t="str"/>
      <x:c r="I64" s="37" t="str"/>
      <x:c r="J64" s="37" t="str"/>
      <x:c r="K64" s="92" t="str"/>
    </x:row>
    <x:row r="65">
      <x:c r="A65" s="91" t="str"/>
      <x:c r="B65" s="37" t="str"/>
      <x:c r="C65" s="37" t="str"/>
      <x:c r="D65" s="37" t="str"/>
      <x:c r="E65" s="37" t="str"/>
      <x:c r="F65" s="37" t="str"/>
      <x:c r="G65" s="37" t="str"/>
      <x:c r="H65" s="37" t="str"/>
      <x:c r="I65" s="37" t="str"/>
      <x:c r="J65" s="37" t="str"/>
      <x:c r="K65" s="92" t="str"/>
    </x:row>
    <x:row r="66">
      <x:c r="A66" s="91" t="str"/>
      <x:c r="B66" s="37" t="str"/>
      <x:c r="C66" s="37" t="str"/>
      <x:c r="D66" s="37" t="str"/>
      <x:c r="E66" s="37" t="str"/>
      <x:c r="F66" s="37" t="str"/>
      <x:c r="G66" s="37" t="str"/>
      <x:c r="H66" s="37" t="str"/>
      <x:c r="I66" s="37" t="str"/>
      <x:c r="J66" s="37" t="str"/>
      <x:c r="K66" s="92" t="str"/>
    </x:row>
    <x:row r="67">
      <x:c r="A67" s="91" t="str"/>
      <x:c r="B67" s="37" t="str"/>
      <x:c r="C67" s="37" t="str"/>
      <x:c r="D67" s="37" t="str"/>
      <x:c r="E67" s="37" t="str"/>
      <x:c r="F67" s="37" t="str"/>
      <x:c r="G67" s="37" t="str"/>
      <x:c r="H67" s="37" t="str"/>
      <x:c r="I67" s="37" t="str"/>
      <x:c r="J67" s="37" t="str"/>
      <x:c r="K67" s="92" t="str"/>
    </x:row>
    <x:row r="68">
      <x:c r="A68" s="91" t="str"/>
      <x:c r="B68" s="37" t="str"/>
      <x:c r="C68" s="37" t="str"/>
      <x:c r="D68" s="37" t="str"/>
      <x:c r="E68" s="37" t="str"/>
      <x:c r="F68" s="37" t="str"/>
      <x:c r="G68" s="37" t="str"/>
      <x:c r="H68" s="37" t="str"/>
      <x:c r="I68" s="37" t="str"/>
      <x:c r="J68" s="37" t="str"/>
      <x:c r="K68" s="92" t="str"/>
    </x:row>
    <x:row r="69">
      <x:c r="A69" s="91" t="str"/>
      <x:c r="B69" s="37" t="str"/>
      <x:c r="C69" s="37" t="str"/>
      <x:c r="D69" s="37" t="str"/>
      <x:c r="E69" s="37" t="str"/>
      <x:c r="F69" s="37" t="str"/>
      <x:c r="G69" s="37" t="str"/>
      <x:c r="H69" s="37" t="str"/>
      <x:c r="I69" s="37" t="str"/>
      <x:c r="J69" s="37" t="str"/>
      <x:c r="K69" s="92" t="str"/>
    </x:row>
    <x:row r="70">
      <x:c r="A70" s="91" t="str"/>
      <x:c r="B70" s="37" t="str"/>
      <x:c r="C70" s="37" t="str"/>
      <x:c r="D70" s="37" t="str"/>
      <x:c r="E70" s="37" t="str"/>
      <x:c r="F70" s="37" t="str"/>
      <x:c r="G70" s="37" t="str"/>
      <x:c r="H70" s="37" t="str"/>
      <x:c r="I70" s="37" t="str"/>
      <x:c r="J70" s="37" t="str"/>
      <x:c r="K70" s="92" t="str"/>
    </x:row>
    <x:row r="71">
      <x:c r="A71" s="91" t="str"/>
      <x:c r="B71" s="37" t="str"/>
      <x:c r="C71" s="37" t="str"/>
      <x:c r="D71" s="37" t="str"/>
      <x:c r="E71" s="37" t="str"/>
      <x:c r="F71" s="37" t="str"/>
      <x:c r="G71" s="37" t="str"/>
      <x:c r="H71" s="37" t="str"/>
      <x:c r="I71" s="37" t="str"/>
      <x:c r="J71" s="37" t="str"/>
      <x:c r="K71" s="92" t="str"/>
    </x:row>
    <x:row r="72">
      <x:c r="A72" s="91" t="str"/>
      <x:c r="B72" s="37" t="str"/>
      <x:c r="C72" s="37" t="str"/>
      <x:c r="D72" s="37" t="str"/>
      <x:c r="E72" s="37" t="str"/>
      <x:c r="F72" s="37" t="str"/>
      <x:c r="G72" s="37" t="str"/>
      <x:c r="H72" s="37" t="str"/>
      <x:c r="I72" s="37" t="str"/>
      <x:c r="J72" s="37" t="str"/>
      <x:c r="K72" s="92" t="str"/>
    </x:row>
    <x:row r="73">
      <x:c r="A73" s="91" t="str"/>
      <x:c r="B73" s="37" t="str"/>
      <x:c r="C73" s="37" t="str"/>
      <x:c r="D73" s="37" t="str"/>
      <x:c r="E73" s="37" t="str"/>
      <x:c r="F73" s="37" t="str"/>
      <x:c r="G73" s="37" t="str"/>
      <x:c r="H73" s="37" t="str"/>
      <x:c r="I73" s="37" t="str"/>
      <x:c r="J73" s="37" t="str"/>
      <x:c r="K73" s="92" t="str"/>
    </x:row>
    <x:row r="74">
      <x:c r="A74" s="91" t="str"/>
      <x:c r="B74" s="37" t="str"/>
      <x:c r="C74" s="37" t="str"/>
      <x:c r="D74" s="37" t="str"/>
      <x:c r="E74" s="37" t="str"/>
      <x:c r="F74" s="37" t="str"/>
      <x:c r="G74" s="37" t="str"/>
      <x:c r="H74" s="37" t="str"/>
      <x:c r="I74" s="37" t="str"/>
      <x:c r="J74" s="37" t="str"/>
      <x:c r="K74" s="92" t="str"/>
    </x:row>
    <x:row r="75">
      <x:c r="A75" s="91" t="str"/>
      <x:c r="B75" s="37" t="str"/>
      <x:c r="C75" s="37" t="str"/>
      <x:c r="D75" s="37" t="str"/>
      <x:c r="E75" s="37" t="str"/>
      <x:c r="F75" s="37" t="str"/>
      <x:c r="G75" s="37" t="str"/>
      <x:c r="H75" s="37" t="str"/>
      <x:c r="I75" s="37" t="str"/>
      <x:c r="J75" s="37" t="str"/>
      <x:c r="K75" s="92" t="str"/>
    </x:row>
    <x:row r="76">
      <x:c r="A76" s="91" t="str"/>
      <x:c r="B76" s="37" t="str"/>
      <x:c r="C76" s="37" t="str"/>
      <x:c r="D76" s="37" t="str"/>
      <x:c r="E76" s="37" t="str"/>
      <x:c r="F76" s="37" t="str"/>
      <x:c r="G76" s="37" t="str"/>
      <x:c r="H76" s="37" t="str"/>
      <x:c r="I76" s="37" t="str"/>
      <x:c r="J76" s="37" t="str"/>
      <x:c r="K76" s="92" t="str"/>
    </x:row>
    <x:row r="77">
      <x:c r="A77" s="91" t="str"/>
      <x:c r="B77" s="37" t="str"/>
      <x:c r="C77" s="37" t="str"/>
      <x:c r="D77" s="37" t="str"/>
      <x:c r="E77" s="37" t="str"/>
      <x:c r="F77" s="37" t="str"/>
      <x:c r="G77" s="37" t="str"/>
      <x:c r="H77" s="37" t="str"/>
      <x:c r="I77" s="37" t="str"/>
      <x:c r="J77" s="37" t="str"/>
      <x:c r="K77" s="92" t="str"/>
    </x:row>
    <x:row r="78">
      <x:c r="A78" s="91" t="str"/>
      <x:c r="B78" s="37" t="str"/>
      <x:c r="C78" s="37" t="str"/>
      <x:c r="D78" s="37" t="str"/>
      <x:c r="E78" s="37" t="str"/>
      <x:c r="F78" s="37" t="str"/>
      <x:c r="G78" s="37" t="str"/>
      <x:c r="H78" s="37" t="str"/>
      <x:c r="I78" s="37" t="str"/>
      <x:c r="J78" s="37" t="str"/>
      <x:c r="K78" s="92" t="str"/>
    </x:row>
    <x:row r="79">
      <x:c r="A79" s="91" t="str"/>
      <x:c r="B79" s="37" t="str"/>
      <x:c r="C79" s="37" t="str"/>
      <x:c r="D79" s="37" t="str"/>
      <x:c r="E79" s="37" t="str"/>
      <x:c r="F79" s="37" t="str"/>
      <x:c r="G79" s="37" t="str"/>
      <x:c r="H79" s="37" t="str"/>
      <x:c r="I79" s="37" t="str"/>
      <x:c r="J79" s="37" t="str"/>
      <x:c r="K79" s="92" t="str"/>
    </x:row>
    <x:row r="80">
      <x:c r="A80" s="91" t="str"/>
      <x:c r="B80" s="37" t="str"/>
      <x:c r="C80" s="37" t="str"/>
      <x:c r="D80" s="37" t="str"/>
      <x:c r="E80" s="37" t="str"/>
      <x:c r="F80" s="37" t="str"/>
      <x:c r="G80" s="37" t="str"/>
      <x:c r="H80" s="37" t="str"/>
      <x:c r="I80" s="37" t="str"/>
      <x:c r="J80" s="37" t="str"/>
      <x:c r="K80" s="92" t="str"/>
    </x:row>
    <x:row r="81">
      <x:c r="A81" s="91" t="str"/>
      <x:c r="B81" s="37" t="str"/>
      <x:c r="C81" s="37" t="str"/>
      <x:c r="D81" s="37" t="str"/>
      <x:c r="E81" s="37" t="str"/>
      <x:c r="F81" s="37" t="str"/>
      <x:c r="G81" s="37" t="str"/>
      <x:c r="H81" s="37" t="str"/>
      <x:c r="I81" s="37" t="str"/>
      <x:c r="J81" s="37" t="str"/>
      <x:c r="K81" s="92" t="str"/>
    </x:row>
    <x:row r="82">
      <x:c r="A82" s="91" t="str"/>
      <x:c r="B82" s="37" t="str"/>
      <x:c r="C82" s="37" t="str"/>
      <x:c r="D82" s="37" t="str"/>
      <x:c r="E82" s="37" t="str"/>
      <x:c r="F82" s="37" t="str"/>
      <x:c r="G82" s="37" t="str"/>
      <x:c r="H82" s="37" t="str"/>
      <x:c r="I82" s="37" t="str"/>
      <x:c r="J82" s="37" t="str"/>
      <x:c r="K82" s="92" t="str"/>
    </x:row>
    <x:row r="83">
      <x:c r="A83" s="91" t="str"/>
      <x:c r="B83" s="37" t="str"/>
      <x:c r="C83" s="37" t="str"/>
      <x:c r="D83" s="37" t="str"/>
      <x:c r="E83" s="37" t="str"/>
      <x:c r="F83" s="37" t="str"/>
      <x:c r="G83" s="37" t="str"/>
      <x:c r="H83" s="37" t="str"/>
      <x:c r="I83" s="37" t="str"/>
      <x:c r="J83" s="37" t="str"/>
      <x:c r="K83" s="92" t="str"/>
    </x:row>
    <x:row r="84">
      <x:c r="A84" s="91" t="str"/>
      <x:c r="B84" s="37" t="str"/>
      <x:c r="C84" s="37" t="str"/>
      <x:c r="D84" s="37" t="str"/>
      <x:c r="E84" s="37" t="str"/>
      <x:c r="F84" s="37" t="str"/>
      <x:c r="G84" s="37" t="str"/>
      <x:c r="H84" s="37" t="str"/>
      <x:c r="I84" s="37" t="str"/>
      <x:c r="J84" s="37" t="str"/>
      <x:c r="K84" s="92" t="str"/>
    </x:row>
    <x:row r="85">
      <x:c r="A85" s="91" t="str"/>
      <x:c r="B85" s="37" t="str"/>
      <x:c r="C85" s="37" t="str"/>
      <x:c r="D85" s="37" t="str"/>
      <x:c r="E85" s="37" t="str"/>
      <x:c r="F85" s="37" t="str"/>
      <x:c r="G85" s="37" t="str"/>
      <x:c r="H85" s="37" t="str"/>
      <x:c r="I85" s="37" t="str"/>
      <x:c r="J85" s="37" t="str"/>
      <x:c r="K85" s="92" t="str"/>
    </x:row>
    <x:row r="86">
      <x:c r="A86" s="91" t="str"/>
      <x:c r="B86" s="37" t="str"/>
      <x:c r="C86" s="37" t="str"/>
      <x:c r="D86" s="37" t="str"/>
      <x:c r="E86" s="37" t="str"/>
      <x:c r="F86" s="37" t="str"/>
      <x:c r="G86" s="37" t="str"/>
      <x:c r="H86" s="37" t="str"/>
      <x:c r="I86" s="37" t="str"/>
      <x:c r="J86" s="37" t="str"/>
      <x:c r="K86" s="92" t="str"/>
    </x:row>
    <x:row r="87">
      <x:c r="A87" s="91" t="str"/>
      <x:c r="B87" s="37" t="str"/>
      <x:c r="C87" s="37" t="str"/>
      <x:c r="D87" s="37" t="str"/>
      <x:c r="E87" s="37" t="str"/>
      <x:c r="F87" s="37" t="str"/>
      <x:c r="G87" s="37" t="str"/>
      <x:c r="H87" s="37" t="str"/>
      <x:c r="I87" s="37" t="str"/>
      <x:c r="J87" s="37" t="str"/>
      <x:c r="K87" s="92" t="str"/>
    </x:row>
    <x:row r="88">
      <x:c r="A88" s="91" t="str"/>
      <x:c r="B88" s="37" t="str"/>
      <x:c r="C88" s="37" t="str"/>
      <x:c r="D88" s="37" t="str"/>
      <x:c r="E88" s="37" t="str"/>
      <x:c r="F88" s="37" t="str"/>
      <x:c r="G88" s="37" t="str"/>
      <x:c r="H88" s="37" t="str"/>
      <x:c r="I88" s="37" t="str"/>
      <x:c r="J88" s="37" t="str"/>
      <x:c r="K88" s="92" t="str"/>
    </x:row>
    <x:row r="89">
      <x:c r="A89" s="91" t="str"/>
      <x:c r="B89" s="37" t="str"/>
      <x:c r="C89" s="37" t="str"/>
      <x:c r="D89" s="37" t="str"/>
      <x:c r="E89" s="37" t="str"/>
      <x:c r="F89" s="37" t="str"/>
      <x:c r="G89" s="37" t="str"/>
      <x:c r="H89" s="37" t="str"/>
      <x:c r="I89" s="37" t="str"/>
      <x:c r="J89" s="37" t="str"/>
      <x:c r="K89" s="92" t="str"/>
    </x:row>
    <x:row r="90">
      <x:c r="A90" s="91" t="str"/>
      <x:c r="B90" s="37" t="str"/>
      <x:c r="C90" s="37" t="str"/>
      <x:c r="D90" s="37" t="str"/>
      <x:c r="E90" s="37" t="str"/>
      <x:c r="F90" s="37" t="str"/>
      <x:c r="G90" s="37" t="str"/>
      <x:c r="H90" s="37" t="str"/>
      <x:c r="I90" s="37" t="str"/>
      <x:c r="J90" s="37" t="str"/>
      <x:c r="K90" s="92" t="str"/>
    </x:row>
    <x:row r="91">
      <x:c r="A91" s="91" t="str"/>
      <x:c r="B91" s="37" t="str"/>
      <x:c r="C91" s="37" t="str"/>
      <x:c r="D91" s="37" t="str"/>
      <x:c r="E91" s="37" t="str"/>
      <x:c r="F91" s="37" t="str"/>
      <x:c r="G91" s="37" t="str"/>
      <x:c r="H91" s="37" t="str"/>
      <x:c r="I91" s="37" t="str"/>
      <x:c r="J91" s="37" t="str"/>
      <x:c r="K91" s="92" t="str"/>
    </x:row>
    <x:row r="92">
      <x:c r="A92" s="91" t="str"/>
      <x:c r="B92" s="37" t="str"/>
      <x:c r="C92" s="37" t="str"/>
      <x:c r="D92" s="37" t="str"/>
      <x:c r="E92" s="37" t="str"/>
      <x:c r="F92" s="37" t="str"/>
      <x:c r="G92" s="37" t="str"/>
      <x:c r="H92" s="37" t="str"/>
      <x:c r="I92" s="37" t="str"/>
      <x:c r="J92" s="37" t="str"/>
      <x:c r="K92" s="92" t="str"/>
    </x:row>
    <x:row r="93">
      <x:c r="A93" s="91" t="str"/>
      <x:c r="B93" s="37" t="str"/>
      <x:c r="C93" s="37" t="str"/>
      <x:c r="D93" s="37" t="str"/>
      <x:c r="E93" s="37" t="str"/>
      <x:c r="F93" s="37" t="str"/>
      <x:c r="G93" s="37" t="str"/>
      <x:c r="H93" s="37" t="str"/>
      <x:c r="I93" s="37" t="str"/>
      <x:c r="J93" s="37" t="str"/>
      <x:c r="K93" s="92" t="str"/>
    </x:row>
    <x:row r="94">
      <x:c r="A94" s="91" t="str"/>
      <x:c r="B94" s="37" t="str"/>
      <x:c r="C94" s="37" t="str"/>
      <x:c r="D94" s="37" t="str"/>
      <x:c r="E94" s="37" t="str"/>
      <x:c r="F94" s="37" t="str"/>
      <x:c r="G94" s="37" t="str"/>
      <x:c r="H94" s="37" t="str"/>
      <x:c r="I94" s="37" t="str"/>
      <x:c r="J94" s="37" t="str"/>
      <x:c r="K94" s="92" t="str"/>
    </x:row>
    <x:row r="95">
      <x:c r="A95" s="91" t="str"/>
      <x:c r="B95" s="37" t="str"/>
      <x:c r="C95" s="37" t="str"/>
      <x:c r="D95" s="37" t="str"/>
      <x:c r="E95" s="37" t="str"/>
      <x:c r="F95" s="37" t="str"/>
      <x:c r="G95" s="37" t="str"/>
      <x:c r="H95" s="37" t="str"/>
      <x:c r="I95" s="37" t="str"/>
      <x:c r="J95" s="37" t="str"/>
      <x:c r="K95" s="92" t="str"/>
    </x:row>
    <x:row r="96">
      <x:c r="A96" s="91" t="str"/>
      <x:c r="B96" s="37" t="str"/>
      <x:c r="C96" s="37" t="str"/>
      <x:c r="D96" s="37" t="str"/>
      <x:c r="E96" s="37" t="str"/>
      <x:c r="F96" s="37" t="str"/>
      <x:c r="G96" s="37" t="str"/>
      <x:c r="H96" s="37" t="str"/>
      <x:c r="I96" s="37" t="str"/>
      <x:c r="J96" s="37" t="str"/>
      <x:c r="K96" s="92" t="str"/>
    </x:row>
    <x:row r="97">
      <x:c r="A97" s="91" t="str"/>
      <x:c r="B97" s="37" t="str"/>
      <x:c r="C97" s="37" t="str"/>
      <x:c r="D97" s="37" t="str"/>
      <x:c r="E97" s="37" t="str"/>
      <x:c r="F97" s="37" t="str"/>
      <x:c r="G97" s="37" t="str"/>
      <x:c r="H97" s="37" t="str"/>
      <x:c r="I97" s="37" t="str"/>
      <x:c r="J97" s="37" t="str"/>
      <x:c r="K97" s="92" t="str"/>
    </x:row>
    <x:row r="98">
      <x:c r="A98" s="91" t="str"/>
      <x:c r="B98" s="37" t="str"/>
      <x:c r="C98" s="37" t="str"/>
      <x:c r="D98" s="37" t="str"/>
      <x:c r="E98" s="37" t="str"/>
      <x:c r="F98" s="37" t="str"/>
      <x:c r="G98" s="37" t="str"/>
      <x:c r="H98" s="37" t="str"/>
      <x:c r="I98" s="37" t="str"/>
      <x:c r="J98" s="37" t="str"/>
      <x:c r="K98" s="92" t="str"/>
    </x:row>
    <x:row r="99">
      <x:c r="A99" s="91" t="str"/>
      <x:c r="B99" s="37" t="str"/>
      <x:c r="C99" s="37" t="str"/>
      <x:c r="D99" s="37" t="str"/>
      <x:c r="E99" s="37" t="str"/>
      <x:c r="F99" s="37" t="str"/>
      <x:c r="G99" s="37" t="str"/>
      <x:c r="H99" s="37" t="str"/>
      <x:c r="I99" s="37" t="str"/>
      <x:c r="J99" s="37" t="str"/>
      <x:c r="K99" s="92" t="str"/>
    </x:row>
    <x:row r="100">
      <x:c r="A100" s="91" t="str"/>
      <x:c r="B100" s="37" t="str"/>
      <x:c r="C100" s="37" t="str"/>
      <x:c r="D100" s="37" t="str"/>
      <x:c r="E100" s="37" t="str"/>
      <x:c r="F100" s="37" t="str"/>
      <x:c r="G100" s="37" t="str"/>
      <x:c r="H100" s="37" t="str"/>
      <x:c r="I100" s="37" t="str"/>
      <x:c r="J100" s="37" t="str"/>
      <x:c r="K100" s="92" t="str"/>
    </x:row>
    <x:row r="101">
      <x:c r="A101" s="91" t="str"/>
      <x:c r="B101" s="37" t="str"/>
      <x:c r="C101" s="37" t="str"/>
      <x:c r="D101" s="37" t="str"/>
      <x:c r="E101" s="37" t="str"/>
      <x:c r="F101" s="37" t="str"/>
      <x:c r="G101" s="37" t="str"/>
      <x:c r="H101" s="37" t="str"/>
      <x:c r="I101" s="37" t="str"/>
      <x:c r="J101" s="37" t="str"/>
      <x:c r="K101" s="92" t="str"/>
    </x:row>
    <x:row r="102">
      <x:c r="A102" s="91" t="str"/>
      <x:c r="B102" s="37" t="str"/>
      <x:c r="C102" s="37" t="str"/>
      <x:c r="D102" s="37" t="str"/>
      <x:c r="E102" s="37" t="str"/>
      <x:c r="F102" s="37" t="str"/>
      <x:c r="G102" s="37" t="str"/>
      <x:c r="H102" s="37" t="str"/>
      <x:c r="I102" s="37" t="str"/>
      <x:c r="J102" s="37" t="str"/>
      <x:c r="K102" s="92" t="str"/>
    </x:row>
    <x:row r="103">
      <x:c r="A103" s="91" t="str"/>
      <x:c r="B103" s="37" t="str"/>
      <x:c r="C103" s="37" t="str"/>
      <x:c r="D103" s="37" t="str"/>
      <x:c r="E103" s="37" t="str"/>
      <x:c r="F103" s="37" t="str"/>
      <x:c r="G103" s="37" t="str"/>
      <x:c r="H103" s="37" t="str"/>
      <x:c r="I103" s="37" t="str"/>
      <x:c r="J103" s="37" t="str"/>
      <x:c r="K103" s="92" t="str"/>
    </x:row>
    <x:row r="104">
      <x:c r="A104" s="91" t="str"/>
      <x:c r="B104" s="37" t="str"/>
      <x:c r="C104" s="37" t="str"/>
      <x:c r="D104" s="37" t="str"/>
      <x:c r="E104" s="37" t="str"/>
      <x:c r="F104" s="37" t="str"/>
      <x:c r="G104" s="37" t="str"/>
      <x:c r="H104" s="37" t="str"/>
      <x:c r="I104" s="37" t="str"/>
      <x:c r="J104" s="37" t="str"/>
      <x:c r="K104" s="92" t="str"/>
    </x:row>
    <x:row r="105">
      <x:c r="A105" s="91" t="str"/>
      <x:c r="B105" s="37" t="str"/>
      <x:c r="C105" s="37" t="str"/>
      <x:c r="D105" s="37" t="str"/>
      <x:c r="E105" s="37" t="str"/>
      <x:c r="F105" s="37" t="str"/>
      <x:c r="G105" s="37" t="str"/>
      <x:c r="H105" s="37" t="str"/>
      <x:c r="I105" s="37" t="str"/>
      <x:c r="J105" s="37" t="str"/>
      <x:c r="K105" s="92" t="str"/>
    </x:row>
    <x:row r="106">
      <x:c r="A106" s="91" t="str"/>
      <x:c r="B106" s="37" t="str"/>
      <x:c r="C106" s="37" t="str"/>
      <x:c r="D106" s="37" t="str"/>
      <x:c r="E106" s="37" t="str"/>
      <x:c r="F106" s="37" t="str"/>
      <x:c r="G106" s="37" t="str"/>
      <x:c r="H106" s="37" t="str"/>
      <x:c r="I106" s="37" t="str"/>
      <x:c r="J106" s="37" t="str"/>
      <x:c r="K106" s="92" t="str"/>
    </x:row>
    <x:row r="107">
      <x:c r="A107" s="91" t="str"/>
      <x:c r="B107" s="37" t="str"/>
      <x:c r="C107" s="37" t="str"/>
      <x:c r="D107" s="37" t="str"/>
      <x:c r="E107" s="37" t="str"/>
      <x:c r="F107" s="37" t="str"/>
      <x:c r="G107" s="37" t="str"/>
      <x:c r="H107" s="37" t="str"/>
      <x:c r="I107" s="37" t="str"/>
      <x:c r="J107" s="37" t="str"/>
      <x:c r="K107" s="92" t="str"/>
    </x:row>
    <x:row r="108">
      <x:c r="A108" s="91" t="str"/>
      <x:c r="B108" s="37" t="str"/>
      <x:c r="C108" s="37" t="str"/>
      <x:c r="D108" s="37" t="str"/>
      <x:c r="E108" s="37" t="str"/>
      <x:c r="F108" s="37" t="str"/>
      <x:c r="G108" s="37" t="str"/>
      <x:c r="H108" s="37" t="str"/>
      <x:c r="I108" s="37" t="str"/>
      <x:c r="J108" s="37" t="str"/>
      <x:c r="K108" s="92" t="str"/>
    </x:row>
    <x:row r="109">
      <x:c r="A109" s="91" t="str"/>
      <x:c r="B109" s="37" t="str"/>
      <x:c r="C109" s="37" t="str"/>
      <x:c r="D109" s="37" t="str"/>
      <x:c r="E109" s="37" t="str"/>
      <x:c r="F109" s="37" t="str"/>
      <x:c r="G109" s="37" t="str"/>
      <x:c r="H109" s="37" t="str"/>
      <x:c r="I109" s="37" t="str"/>
      <x:c r="J109" s="37" t="str"/>
      <x:c r="K109" s="92" t="str"/>
    </x:row>
    <x:row r="110">
      <x:c r="A110" s="91" t="str"/>
      <x:c r="B110" s="37" t="str"/>
      <x:c r="C110" s="37" t="str"/>
      <x:c r="D110" s="37" t="str"/>
      <x:c r="E110" s="37" t="str"/>
      <x:c r="F110" s="37" t="str"/>
      <x:c r="G110" s="37" t="str"/>
      <x:c r="H110" s="37" t="str"/>
      <x:c r="I110" s="37" t="str"/>
      <x:c r="J110" s="37" t="str"/>
      <x:c r="K110" s="92" t="str"/>
    </x:row>
    <x:row r="111">
      <x:c r="A111" s="91" t="str"/>
      <x:c r="B111" s="37" t="str"/>
      <x:c r="C111" s="37" t="str"/>
      <x:c r="D111" s="37" t="str"/>
      <x:c r="E111" s="37" t="str"/>
      <x:c r="F111" s="37" t="str"/>
      <x:c r="G111" s="37" t="str"/>
      <x:c r="H111" s="37" t="str"/>
      <x:c r="I111" s="37" t="str"/>
      <x:c r="J111" s="37" t="str"/>
      <x:c r="K111" s="92" t="str"/>
    </x:row>
    <x:row r="112">
      <x:c r="A112" s="91" t="str"/>
      <x:c r="B112" s="37" t="str"/>
      <x:c r="C112" s="37" t="str"/>
      <x:c r="D112" s="37" t="str"/>
      <x:c r="E112" s="37" t="str"/>
      <x:c r="F112" s="37" t="str"/>
      <x:c r="G112" s="37" t="str"/>
      <x:c r="H112" s="37" t="str"/>
      <x:c r="I112" s="37" t="str"/>
      <x:c r="J112" s="37" t="str"/>
      <x:c r="K112" s="92" t="str"/>
    </x:row>
    <x:row r="113">
      <x:c r="A113" s="91" t="str"/>
      <x:c r="B113" s="37" t="str"/>
      <x:c r="C113" s="37" t="str"/>
      <x:c r="D113" s="37" t="str"/>
      <x:c r="E113" s="37" t="str"/>
      <x:c r="F113" s="37" t="str"/>
      <x:c r="G113" s="37" t="str"/>
      <x:c r="H113" s="37" t="str"/>
      <x:c r="I113" s="37" t="str"/>
      <x:c r="J113" s="37" t="str"/>
      <x:c r="K113" s="92" t="str"/>
    </x:row>
    <x:row r="114">
      <x:c r="A114" s="91" t="str"/>
      <x:c r="B114" s="37" t="str"/>
      <x:c r="C114" s="37" t="str"/>
      <x:c r="D114" s="37" t="str"/>
      <x:c r="E114" s="37" t="str"/>
      <x:c r="F114" s="37" t="str"/>
      <x:c r="G114" s="37" t="str"/>
      <x:c r="H114" s="37" t="str"/>
      <x:c r="I114" s="37" t="str"/>
      <x:c r="J114" s="37" t="str"/>
      <x:c r="K114" s="92" t="str"/>
    </x:row>
    <x:row r="115">
      <x:c r="A115" s="91" t="str"/>
      <x:c r="B115" s="37" t="str"/>
      <x:c r="C115" s="37" t="str"/>
      <x:c r="D115" s="37" t="str"/>
      <x:c r="E115" s="37" t="str"/>
      <x:c r="F115" s="37" t="str"/>
      <x:c r="G115" s="37" t="str"/>
      <x:c r="H115" s="37" t="str"/>
      <x:c r="I115" s="37" t="str"/>
      <x:c r="J115" s="37" t="str"/>
      <x:c r="K115" s="92" t="str"/>
    </x:row>
    <x:row r="116">
      <x:c r="A116" s="91" t="str"/>
      <x:c r="B116" s="37" t="str"/>
      <x:c r="C116" s="37" t="str"/>
      <x:c r="D116" s="37" t="str"/>
      <x:c r="E116" s="37" t="str"/>
      <x:c r="F116" s="37" t="str"/>
      <x:c r="G116" s="37" t="str"/>
      <x:c r="H116" s="37" t="str"/>
      <x:c r="I116" s="37" t="str"/>
      <x:c r="J116" s="37" t="str"/>
      <x:c r="K116" s="92" t="str"/>
    </x:row>
    <x:row r="117">
      <x:c r="A117" s="91" t="str"/>
      <x:c r="B117" s="37" t="str"/>
      <x:c r="C117" s="37" t="str"/>
      <x:c r="D117" s="37" t="str"/>
      <x:c r="E117" s="37" t="str"/>
      <x:c r="F117" s="37" t="str"/>
      <x:c r="G117" s="37" t="str"/>
      <x:c r="H117" s="37" t="str"/>
      <x:c r="I117" s="37" t="str"/>
      <x:c r="J117" s="37" t="str"/>
      <x:c r="K117" s="92" t="str"/>
    </x:row>
    <x:row r="118">
      <x:c r="A118" s="91" t="str"/>
      <x:c r="B118" s="37" t="str"/>
      <x:c r="C118" s="37" t="str"/>
      <x:c r="D118" s="37" t="str"/>
      <x:c r="E118" s="37" t="str"/>
      <x:c r="F118" s="37" t="str"/>
      <x:c r="G118" s="37" t="str"/>
      <x:c r="H118" s="37" t="str"/>
      <x:c r="I118" s="37" t="str"/>
      <x:c r="J118" s="37" t="str"/>
      <x:c r="K118" s="92" t="str"/>
    </x:row>
    <x:row r="119">
      <x:c r="A119" s="91" t="str"/>
      <x:c r="B119" s="37" t="str"/>
      <x:c r="C119" s="37" t="str"/>
      <x:c r="D119" s="37" t="str"/>
      <x:c r="E119" s="37" t="str"/>
      <x:c r="F119" s="37" t="str"/>
      <x:c r="G119" s="37" t="str"/>
      <x:c r="H119" s="37" t="str"/>
      <x:c r="I119" s="37" t="str"/>
      <x:c r="J119" s="37" t="str"/>
      <x:c r="K119" s="92" t="str"/>
    </x:row>
    <x:row r="120">
      <x:c r="A120" s="91" t="str"/>
      <x:c r="B120" s="37" t="str"/>
      <x:c r="C120" s="37" t="str"/>
      <x:c r="D120" s="37" t="str"/>
      <x:c r="E120" s="37" t="str"/>
      <x:c r="F120" s="37" t="str"/>
      <x:c r="G120" s="37" t="str"/>
      <x:c r="H120" s="37" t="str"/>
      <x:c r="I120" s="37" t="str"/>
      <x:c r="J120" s="37" t="str"/>
      <x:c r="K120" s="92" t="str"/>
    </x:row>
    <x:row r="121">
      <x:c r="A121" s="91" t="str"/>
      <x:c r="B121" s="37" t="str"/>
      <x:c r="C121" s="37" t="str"/>
      <x:c r="D121" s="37" t="str"/>
      <x:c r="E121" s="37" t="str"/>
      <x:c r="F121" s="37" t="str"/>
      <x:c r="G121" s="37" t="str"/>
      <x:c r="H121" s="37" t="str"/>
      <x:c r="I121" s="37" t="str"/>
      <x:c r="J121" s="37" t="str"/>
      <x:c r="K121" s="92" t="str"/>
    </x:row>
    <x:row r="122">
      <x:c r="A122" s="91" t="str"/>
      <x:c r="B122" s="37" t="str"/>
      <x:c r="C122" s="37" t="str"/>
      <x:c r="D122" s="37" t="str"/>
      <x:c r="E122" s="37" t="str"/>
      <x:c r="F122" s="37" t="str"/>
      <x:c r="G122" s="37" t="str"/>
      <x:c r="H122" s="37" t="str"/>
      <x:c r="I122" s="37" t="str"/>
      <x:c r="J122" s="37" t="str"/>
      <x:c r="K122" s="92" t="str"/>
    </x:row>
    <x:row r="123">
      <x:c r="A123" s="91" t="str"/>
      <x:c r="B123" s="37" t="str"/>
      <x:c r="C123" s="37" t="str"/>
      <x:c r="D123" s="37" t="str"/>
      <x:c r="E123" s="37" t="str"/>
      <x:c r="F123" s="37" t="str"/>
      <x:c r="G123" s="37" t="str"/>
      <x:c r="H123" s="37" t="str"/>
      <x:c r="I123" s="37" t="str"/>
      <x:c r="J123" s="37" t="str"/>
      <x:c r="K123" s="92" t="str"/>
    </x:row>
    <x:row r="124">
      <x:c r="A124" s="91" t="str"/>
      <x:c r="B124" s="37" t="str"/>
      <x:c r="C124" s="37" t="str"/>
      <x:c r="D124" s="37" t="str"/>
      <x:c r="E124" s="37" t="str"/>
      <x:c r="F124" s="37" t="str"/>
      <x:c r="G124" s="37" t="str"/>
      <x:c r="H124" s="37" t="str"/>
      <x:c r="I124" s="37" t="str"/>
      <x:c r="J124" s="37" t="str"/>
      <x:c r="K124" s="92" t="str"/>
    </x:row>
    <x:row r="125">
      <x:c r="A125" s="91" t="str"/>
      <x:c r="B125" s="37" t="str"/>
      <x:c r="C125" s="37" t="str"/>
      <x:c r="D125" s="37" t="str"/>
      <x:c r="E125" s="37" t="str"/>
      <x:c r="F125" s="37" t="str"/>
      <x:c r="G125" s="37" t="str"/>
      <x:c r="H125" s="37" t="str"/>
      <x:c r="I125" s="37" t="str"/>
      <x:c r="J125" s="37" t="str"/>
      <x:c r="K125" s="92" t="str"/>
    </x:row>
    <x:row r="126">
      <x:c r="A126" s="91" t="str"/>
      <x:c r="B126" s="37" t="str"/>
      <x:c r="C126" s="37" t="str"/>
      <x:c r="D126" s="37" t="str"/>
      <x:c r="E126" s="37" t="str"/>
      <x:c r="F126" s="37" t="str"/>
      <x:c r="G126" s="37" t="str"/>
      <x:c r="H126" s="37" t="str"/>
      <x:c r="I126" s="37" t="str"/>
      <x:c r="J126" s="37" t="str"/>
      <x:c r="K126" s="92" t="str"/>
    </x:row>
    <x:row r="127">
      <x:c r="A127" s="91" t="str"/>
      <x:c r="B127" s="37" t="str"/>
      <x:c r="C127" s="37" t="str"/>
      <x:c r="D127" s="37" t="str"/>
      <x:c r="E127" s="37" t="str"/>
      <x:c r="F127" s="37" t="str"/>
      <x:c r="G127" s="37" t="str"/>
      <x:c r="H127" s="37" t="str"/>
      <x:c r="I127" s="37" t="str"/>
      <x:c r="J127" s="37" t="str"/>
      <x:c r="K127" s="92" t="str"/>
    </x:row>
    <x:row r="128">
      <x:c r="A128" s="91" t="str"/>
      <x:c r="B128" s="37" t="str"/>
      <x:c r="C128" s="37" t="str"/>
      <x:c r="D128" s="37" t="str"/>
      <x:c r="E128" s="37" t="str"/>
      <x:c r="F128" s="37" t="str"/>
      <x:c r="G128" s="37" t="str"/>
      <x:c r="H128" s="37" t="str"/>
      <x:c r="I128" s="37" t="str"/>
      <x:c r="J128" s="37" t="str"/>
      <x:c r="K128" s="92" t="str"/>
    </x:row>
    <x:row r="129">
      <x:c r="A129" s="93" t="str"/>
      <x:c r="B129" s="94" t="str"/>
      <x:c r="C129" s="94" t="str"/>
      <x:c r="D129" s="94" t="str"/>
      <x:c r="E129" s="94" t="str"/>
      <x:c r="F129" s="94" t="str"/>
      <x:c r="G129" s="94" t="str"/>
      <x:c r="H129" s="94" t="str"/>
      <x:c r="I129" s="94" t="str"/>
      <x:c r="J129" s="94" t="str"/>
      <x:c r="K129" s="95" t="str"/>
    </x:row>
  </x:sheetData>
  <x:conditionalFormatting sqref="A2:A129">
    <x:cfRule type="expression" dxfId="0" priority="1">
      <x:formula>A2="Complete"</x:formula>
    </x:cfRule>
    <x:cfRule type="expression" dxfId="1" priority="2">
      <x:formula>A2="Working On"</x:formula>
    </x:cfRule>
    <x:cfRule type="expression" dxfId="2" priority="3">
      <x:formula>A2="Need to Start"</x:formula>
    </x:cfRule>
  </x:conditionalFormatting>
  <x:dataValidations count="4">
    <x:dataValidation type="list" allowBlank="1" showDropDown="0" sqref="A2:A129">
      <x:formula1>"Need to Start,Working On,Complete,Blocked,Optional,Cut"</x:formula1>
    </x:dataValidation>
    <x:dataValidation type="list" allowBlank="1" showDropDown="0" sqref="B2:B129">
      <x:formula1>"Critical,High,Medium,Low"</x:formula1>
    </x:dataValidation>
    <x:dataValidation type="list" allowBlank="1" showDropDown="0" sqref="C2:C129">
      <x:formula1>"Creature UI,NPC UI,Breeding Preview,Breeding Scene,Task Scene,Relationship Reward,Player UI,Egg/Hatch,Expression Variant,Location/Backdrop,Other"</x:formula1>
    </x:dataValidation>
    <x:dataValidation type="list" allowBlank="1" showDropDown="0" sqref="D2:D129">
      <x:formula1>"Portrait,Full Body,Preview - Giver,Preview - Receiver,Breeding Scene,Task Scene,Relationship CG,Egg Icon,Hatch Reveal,Expression,Reward Illustration,Backdrop"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.430000305175781" hidden="0" customWidth="1"/>
    <x:col min="2" max="2" width="9.140000343322754" hidden="0" customWidth="1"/>
    <x:col min="4" max="4" width="22" hidden="0" customWidth="1"/>
    <x:col min="5" max="5" width="20.290000915527344" hidden="0" customWidth="1"/>
  </x:cols>
  <x:sheetData>
    <x:row r="1" ht="17.08984375" hidden="0" customHeight="1">
      <x:c r="A1" s="106" t="str">
        <x:v>Status</x:v>
      </x:c>
      <x:c r="B1" s="106" t="str">
        <x:v>Priority</x:v>
      </x:c>
      <x:c r="D1" s="106" t="str">
        <x:v>Asset Group</x:v>
      </x:c>
      <x:c r="E1" s="106" t="str">
        <x:v>Asset Type</x:v>
      </x:c>
      <x:c r="G1" t="str">
        <x:v>Subjects</x:v>
      </x:c>
      <x:c r="H1" t="str">
        <x:v>Matrix Categories</x:v>
      </x:c>
    </x:row>
    <x:row r="2" ht="17.08984375" hidden="0" customHeight="1">
      <x:c r="A2" t="str">
        <x:v>Need to Start</x:v>
      </x:c>
      <x:c r="B2" t="str">
        <x:v>Critical</x:v>
      </x:c>
      <x:c r="D2" t="str">
        <x:v>Creature UI</x:v>
      </x:c>
      <x:c r="E2" t="str">
        <x:v>Portrait</x:v>
      </x:c>
      <x:c r="G2" t="str">
        <x:v>Player</x:v>
      </x:c>
      <x:c r="H2" t="str">
        <x:v>Portrait / Face</x:v>
      </x:c>
    </x:row>
    <x:row r="3" ht="17.08984375" hidden="0" customHeight="1">
      <x:c r="A3" t="str">
        <x:v>Working On</x:v>
      </x:c>
      <x:c r="B3" t="str">
        <x:v>High</x:v>
      </x:c>
      <x:c r="D3" t="str">
        <x:v>NPC UI</x:v>
      </x:c>
      <x:c r="E3" t="str">
        <x:v>Full Body</x:v>
      </x:c>
      <x:c r="G3" t="str">
        <x:v>Horse</x:v>
      </x:c>
      <x:c r="H3" t="str">
        <x:v>Profile / Full Body</x:v>
      </x:c>
    </x:row>
    <x:row r="4" ht="17.08984375" hidden="0" customHeight="1">
      <x:c r="A4" t="str">
        <x:v>Complete</x:v>
      </x:c>
      <x:c r="B4" t="str">
        <x:v>Medium</x:v>
      </x:c>
      <x:c r="D4" t="str">
        <x:v>Breeding Preview</x:v>
      </x:c>
      <x:c r="E4" t="str">
        <x:v>Preview - Giver</x:v>
      </x:c>
      <x:c r="G4" t="str">
        <x:v>Cat</x:v>
      </x:c>
      <x:c r="H4" t="str">
        <x:v>Dialogue Portrait</x:v>
      </x:c>
    </x:row>
    <x:row r="5" ht="17.08984375" hidden="0" customHeight="1">
      <x:c r="A5" t="str">
        <x:v>Blocked</x:v>
      </x:c>
      <x:c r="B5" t="str">
        <x:v>Low</x:v>
      </x:c>
      <x:c r="D5" t="str">
        <x:v>Breeding Scene</x:v>
      </x:c>
      <x:c r="E5" t="str">
        <x:v>Preview - Receiver</x:v>
      </x:c>
      <x:c r="G5" t="str">
        <x:v>Bunny</x:v>
      </x:c>
      <x:c r="H5" t="str">
        <x:v>Breeding Select - Giver</x:v>
      </x:c>
    </x:row>
    <x:row r="6" ht="17.08984375" hidden="0" customHeight="1">
      <x:c r="A6" t="str">
        <x:v>Optional</x:v>
      </x:c>
      <x:c r="D6" t="str">
        <x:v>Task Scene</x:v>
      </x:c>
      <x:c r="E6" t="str">
        <x:v>Breeding Scene</x:v>
      </x:c>
      <x:c r="G6" t="str">
        <x:v>Dog</x:v>
      </x:c>
      <x:c r="H6" t="str">
        <x:v>Breeding Select - Receiver</x:v>
      </x:c>
    </x:row>
    <x:row r="7" ht="17.08984375" hidden="0" customHeight="1">
      <x:c r="A7" t="str">
        <x:v>Cut</x:v>
      </x:c>
      <x:c r="D7" t="str">
        <x:v>Relationship Reward</x:v>
      </x:c>
      <x:c r="E7" t="str">
        <x:v>Task Scene</x:v>
      </x:c>
      <x:c r="G7" t="str">
        <x:v>Fox</x:v>
      </x:c>
      <x:c r="H7" t="str">
        <x:v>Breeding Scene - Player Giver</x:v>
      </x:c>
    </x:row>
    <x:row r="8" ht="17.08984375" hidden="0" customHeight="1">
      <x:c r="D8" t="str">
        <x:v>Player UI</x:v>
      </x:c>
      <x:c r="E8" t="str">
        <x:v>Relationship CG</x:v>
      </x:c>
      <x:c r="G8" t="str">
        <x:v>Cow</x:v>
      </x:c>
      <x:c r="H8" t="str">
        <x:v>Breeding Scene - Player Receiver</x:v>
      </x:c>
    </x:row>
    <x:row r="9" ht="17.08984375" hidden="0" customHeight="1">
      <x:c r="D9" t="str">
        <x:v>Egg/Hatch</x:v>
      </x:c>
      <x:c r="E9" t="str">
        <x:v>Egg Icon</x:v>
      </x:c>
      <x:c r="G9" t="str">
        <x:v>Sheep</x:v>
      </x:c>
      <x:c r="H9" t="str">
        <x:v>Breeding Scene - Creature Giver</x:v>
      </x:c>
    </x:row>
    <x:row r="10" ht="17.08984375" hidden="0" customHeight="1">
      <x:c r="D10" t="str">
        <x:v>Expression Variant</x:v>
      </x:c>
      <x:c r="E10" t="str">
        <x:v>Hatch Reveal</x:v>
      </x:c>
      <x:c r="G10" t="str">
        <x:v>Goat</x:v>
      </x:c>
      <x:c r="H10" t="str">
        <x:v>Breeding Scene - Creature Receiver</x:v>
      </x:c>
    </x:row>
    <x:row r="11" ht="17.08984375" hidden="0" customHeight="1">
      <x:c r="D11" t="str">
        <x:v>Location/Backdrop</x:v>
      </x:c>
      <x:c r="E11" t="str">
        <x:v>Expression</x:v>
      </x:c>
      <x:c r="G11" t="str">
        <x:v>NPC 01</x:v>
      </x:c>
      <x:c r="H11" t="str">
        <x:v>Task - Cook</x:v>
      </x:c>
    </x:row>
    <x:row r="12" ht="17.08984375" hidden="0" customHeight="1">
      <x:c r="D12" t="str">
        <x:v>Other</x:v>
      </x:c>
      <x:c r="E12" t="str">
        <x:v>Reward Illustration</x:v>
      </x:c>
      <x:c r="G12" t="str">
        <x:v>NPC 02</x:v>
      </x:c>
      <x:c r="H12" t="str">
        <x:v>Task - Clean</x:v>
      </x:c>
    </x:row>
    <x:row r="13" ht="17.08984375" hidden="0" customHeight="1">
      <x:c r="E13" t="str">
        <x:v>Backdrop</x:v>
      </x:c>
      <x:c r="G13" t="str">
        <x:v>NPC 03</x:v>
      </x:c>
      <x:c r="H13" t="str">
        <x:v>Task - Field Work</x:v>
      </x:c>
    </x:row>
    <x:row r="14">
      <x:c r="G14" t="str">
        <x:v>NPC 04</x:v>
      </x:c>
      <x:c r="H14" t="str">
        <x:v>Task - Ranch Care</x:v>
      </x:c>
    </x:row>
    <x:row r="15">
      <x:c r="G15" t="str">
        <x:v>NPC 05</x:v>
      </x:c>
      <x:c r="H15" t="str">
        <x:v>Task - Gather / Errands</x:v>
      </x:c>
    </x:row>
    <x:row r="16">
      <x:c r="G16" t="str">
        <x:v>NPC 06</x:v>
      </x:c>
      <x:c r="H16" t="str">
        <x:v>Relationship Reward Lv2</x:v>
      </x:c>
    </x:row>
    <x:row r="17">
      <x:c r="G17" t="str">
        <x:v>NPC 07</x:v>
      </x:c>
      <x:c r="H17" t="str">
        <x:v>Relationship Reward Lv3</x:v>
      </x:c>
    </x:row>
    <x:row r="18">
      <x:c r="G18" t="str">
        <x:v>NPC 08</x:v>
      </x:c>
      <x:c r="H18" t="str">
        <x:v>Relationship Reward Lv4</x:v>
      </x:c>
    </x:row>
    <x:row r="19">
      <x:c r="G19" t="str">
        <x:v>NPC 09</x:v>
      </x:c>
      <x:c r="H19" t="str">
        <x:v>Relationship Reward Lv5</x:v>
      </x:c>
    </x:row>
    <x:row r="20">
      <x:c r="G20" t="str">
        <x:v>NPC 10</x:v>
      </x:c>
      <x:c r="H20" t="str">
        <x:v>Expression Variant 1</x:v>
      </x:c>
    </x:row>
    <x:row r="21">
      <x:c r="G21" t="str">
        <x:v>NPC 11</x:v>
      </x:c>
      <x:c r="H21" t="str">
        <x:v>Expression Variant 2</x:v>
      </x:c>
    </x:row>
    <x:row r="22">
      <x:c r="G22" t="str">
        <x:v>NPC 12</x:v>
      </x:c>
      <x:c r="H22" t="str">
        <x:v>Expression Variant 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4" hidden="0" customWidth="1"/>
    <x:col min="5" max="5" width="16" hidden="0" customWidth="1"/>
    <x:col min="6" max="6" width="14" hidden="0" customWidth="1"/>
    <x:col min="7" max="7" width="17" hidden="0" customWidth="1"/>
    <x:col min="8" max="8" width="19" hidden="0" customWidth="1"/>
    <x:col min="9" max="9" width="19" hidden="0" customWidth="1"/>
    <x:col min="10" max="10" width="19" hidden="0" customWidth="1"/>
    <x:col min="11" max="11" width="21" hidden="0" customWidth="1"/>
    <x:col min="12" max="12" width="21" hidden="0" customWidth="1"/>
    <x:col min="13" max="13" width="12" hidden="0" customWidth="1"/>
    <x:col min="14" max="14" width="12" hidden="0" customWidth="1"/>
    <x:col min="15" max="15" width="16" hidden="0" customWidth="1"/>
    <x:col min="16" max="16" width="15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16" hidden="0" customWidth="1"/>
    <x:col min="22" max="22" width="16" hidden="0" customWidth="1"/>
    <x:col min="23" max="23" width="16" hidden="0" customWidth="1"/>
    <x:col min="24" max="24" width="10" hidden="0" customWidth="1"/>
    <x:col min="25" max="25" width="10" hidden="0" customWidth="1"/>
    <x:col min="26" max="26" width="10" hidden="0" customWidth="1"/>
    <x:col min="27" max="27" width="22" hidden="0" customWidth="1"/>
  </x:cols>
  <x:sheetData>
    <x:row r="1">
      <x:c r="A1" s="111" t="str">
        <x:v>Coverage Matrix — Subjects × Image Categories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  <x:c r="Q1" s="111"/>
      <x:c r="R1" s="111"/>
      <x:c r="S1" s="111"/>
      <x:c r="T1" s="111"/>
      <x:c r="U1" s="111"/>
      <x:c r="V1" s="111"/>
      <x:c r="W1" s="111"/>
      <x:c r="X1" s="111"/>
      <x:c r="Y1" s="111"/>
      <x:c r="Z1" s="111"/>
      <x:c r="AA1" s="111"/>
    </x:row>
    <x:row r="2">
      <x:c r="A2" s="111" t="str">
        <x:v>Use the status dropdown in each category cell. Rows are people/creatures/NPCs; columns are the image categories you need to cover.</x:v>
      </x:c>
      <x:c r="B2" s="111"/>
      <x:c r="C2" s="111"/>
      <x:c r="D2" s="111"/>
      <x:c r="E2" s="111"/>
      <x:c r="F2" s="111"/>
      <x:c r="G2" s="111"/>
      <x:c r="H2" s="111"/>
      <x:c r="I2" s="111"/>
      <x:c r="J2" s="111"/>
      <x:c r="K2" s="111"/>
      <x:c r="L2" s="111"/>
      <x:c r="M2" s="111"/>
      <x:c r="N2" s="111"/>
      <x:c r="O2" s="111"/>
      <x:c r="P2" s="111"/>
      <x:c r="Q2" s="111"/>
      <x:c r="R2" s="111"/>
      <x:c r="S2" s="111"/>
      <x:c r="T2" s="111"/>
      <x:c r="U2" s="111"/>
      <x:c r="V2" s="111"/>
      <x:c r="W2" s="111"/>
      <x:c r="X2" s="111"/>
      <x:c r="Y2" s="111"/>
      <x:c r="Z2" s="111"/>
      <x:c r="AA2" s="111"/>
    </x:row>
    <x:row r="4">
      <x:c r="A4" s="117" t="str">
        <x:v>Legend</x:v>
      </x:c>
      <x:c r="B4" s="117" t="str">
        <x:v>Need to Start</x:v>
      </x:c>
      <x:c r="C4" s="117" t="str">
        <x:v>Working On</x:v>
      </x:c>
      <x:c r="D4" s="117" t="str">
        <x:v>Complete</x:v>
      </x:c>
      <x:c r="E4" s="117" t="str">
        <x:v>Blocked</x:v>
      </x:c>
      <x:c r="F4" s="117" t="str">
        <x:v>Optional</x:v>
      </x:c>
    </x:row>
    <x:row r="5">
      <x:c r="A5" s="117" t="str">
        <x:v>Cell meaning</x:v>
      </x:c>
      <x:c r="B5" s="117" t="str">
        <x:v>Not started yet</x:v>
      </x:c>
      <x:c r="C5" s="117" t="str">
        <x:v>In progress</x:v>
      </x:c>
      <x:c r="D5" s="117" t="str">
        <x:v>Finished</x:v>
      </x:c>
      <x:c r="E5" s="117" t="str">
        <x:v>Waiting on something</x:v>
      </x:c>
      <x:c r="F5" s="117" t="str">
        <x:v>Only if you want it</x:v>
      </x:c>
    </x:row>
    <x:row r="8">
      <x:c r="A8" s="123" t="str">
        <x:v>Subject</x:v>
      </x:c>
      <x:c r="B8" s="123" t="str">
        <x:v>Type</x:v>
      </x:c>
      <x:c r="C8" s="123" t="str">
        <x:v>Roster Status</x:v>
      </x:c>
      <x:c r="D8" s="123" t="str">
        <x:v>Portrait / Face</x:v>
      </x:c>
      <x:c r="E8" s="123" t="str">
        <x:v>Profile / Full Body</x:v>
      </x:c>
      <x:c r="F8" s="123" t="str">
        <x:v>Dialogue Portrait</x:v>
      </x:c>
      <x:c r="G8" s="123" t="str">
        <x:v>Breeding Select - Giver</x:v>
      </x:c>
      <x:c r="H8" s="123" t="str">
        <x:v>Breeding Select - Receiver</x:v>
      </x:c>
      <x:c r="I8" s="123" t="str">
        <x:v>Breeding Scene - Player Giver</x:v>
      </x:c>
      <x:c r="J8" s="123" t="str">
        <x:v>Breeding Scene - Player Receiver</x:v>
      </x:c>
      <x:c r="K8" s="123" t="str">
        <x:v>Breeding Scene - Creature Giver</x:v>
      </x:c>
      <x:c r="L8" s="123" t="str">
        <x:v>Breeding Scene - Creature Receiver</x:v>
      </x:c>
      <x:c r="M8" s="123" t="str">
        <x:v>Task - Cook</x:v>
      </x:c>
      <x:c r="N8" s="123" t="str">
        <x:v>Task - Clean</x:v>
      </x:c>
      <x:c r="O8" s="123" t="str">
        <x:v>Task - Field Work</x:v>
      </x:c>
      <x:c r="P8" s="123" t="str">
        <x:v>Task - Ranch Care</x:v>
      </x:c>
      <x:c r="Q8" s="123" t="str">
        <x:v>Task - Gather / Errands</x:v>
      </x:c>
      <x:c r="R8" s="123" t="str">
        <x:v>Relationship Reward Lv2</x:v>
      </x:c>
      <x:c r="S8" s="123" t="str">
        <x:v>Relationship Reward Lv3</x:v>
      </x:c>
      <x:c r="T8" s="123" t="str">
        <x:v>Relationship Reward Lv4</x:v>
      </x:c>
      <x:c r="U8" s="123" t="str">
        <x:v>Relationship Reward Lv5</x:v>
      </x:c>
      <x:c r="V8" s="123" t="str">
        <x:v>Expression Variant 1</x:v>
      </x:c>
      <x:c r="W8" s="123" t="str">
        <x:v>Expression Variant 2</x:v>
      </x:c>
      <x:c r="X8" s="123" t="str">
        <x:v>Expression Variant 3</x:v>
      </x:c>
      <x:c r="Y8" s="123" t="str">
        <x:v>Completed</x:v>
      </x:c>
      <x:c r="Z8" s="123" t="str">
        <x:v>Coverage %</x:v>
      </x:c>
      <x:c r="AA8" s="123" t="str">
        <x:v>Notes</x:v>
      </x:c>
    </x:row>
    <x:row r="9">
      <x:c r="A9" s="126" t="str">
        <x:v>Player</x:v>
      </x:c>
      <x:c r="B9" s="126" t="str">
        <x:v>Player</x:v>
      </x:c>
      <x:c r="C9" s="126" t="str">
        <x:v>Core</x:v>
      </x:c>
      <x:c r="D9" s="126" t="str"/>
      <x:c r="E9" s="126" t="str"/>
      <x:c r="F9" s="126" t="str"/>
      <x:c r="G9" s="126" t="str"/>
      <x:c r="H9" s="126" t="str"/>
      <x:c r="I9" s="126" t="str"/>
      <x:c r="J9" s="126" t="str"/>
      <x:c r="K9" s="126" t="str"/>
      <x:c r="L9" s="126" t="str"/>
      <x:c r="M9" s="126" t="str"/>
      <x:c r="N9" s="126" t="str"/>
      <x:c r="O9" s="126" t="str"/>
      <x:c r="P9" s="126" t="str"/>
      <x:c r="Q9" s="126" t="str"/>
      <x:c r="R9" s="126" t="str"/>
      <x:c r="S9" s="126" t="str"/>
      <x:c r="T9" s="126" t="str"/>
      <x:c r="U9" s="126" t="str"/>
      <x:c r="V9" s="126" t="str"/>
      <x:c r="W9" s="126" t="str"/>
      <x:c r="X9" s="126" t="str"/>
      <x:c r="Y9" s="126" t="n">
        <x:f>COUNTIF(D9:X9,"Complete")</x:f>
        <x:v>0</x:v>
      </x:c>
      <x:c r="Z9" s="130" t="n">
        <x:f>IF(COUNTA(D9:X9)=0,0,COUNTIF(D9:X9,"Complete")/COLUMNS(D9:X9))</x:f>
        <x:v>0</x:v>
      </x:c>
      <x:c r="AA9" s="126" t="str"/>
    </x:row>
    <x:row r="10">
      <x:c r="A10" s="126" t="str">
        <x:v>Horse</x:v>
      </x:c>
      <x:c r="B10" s="126" t="str">
        <x:v>Creature</x:v>
      </x:c>
      <x:c r="C10" s="126" t="str">
        <x:v>Core</x:v>
      </x:c>
      <x:c r="D10" s="126" t="str"/>
      <x:c r="E10" s="126" t="str"/>
      <x:c r="F10" s="126" t="str"/>
      <x:c r="G10" s="126" t="str"/>
      <x:c r="H10" s="126" t="str"/>
      <x:c r="I10" s="126" t="str"/>
      <x:c r="J10" s="126" t="str"/>
      <x:c r="K10" s="126" t="str"/>
      <x:c r="L10" s="126" t="str"/>
      <x:c r="M10" s="126" t="str"/>
      <x:c r="N10" s="126" t="str"/>
      <x:c r="O10" s="126" t="str"/>
      <x:c r="P10" s="126" t="str"/>
      <x:c r="Q10" s="126" t="str"/>
      <x:c r="R10" s="126" t="str"/>
      <x:c r="S10" s="126" t="str"/>
      <x:c r="T10" s="126" t="str"/>
      <x:c r="U10" s="126" t="str"/>
      <x:c r="V10" s="126" t="str"/>
      <x:c r="W10" s="126" t="str"/>
      <x:c r="X10" s="126" t="str"/>
      <x:c r="Y10" s="126" t="n">
        <x:f>COUNTIF(D10:X10,"Complete")</x:f>
        <x:v>0</x:v>
      </x:c>
      <x:c r="Z10" s="130" t="n">
        <x:f>IF(COUNTA(D10:X10)=0,0,COUNTIF(D10:X10,"Complete")/COLUMNS(D10:X10))</x:f>
        <x:v>0</x:v>
      </x:c>
      <x:c r="AA10" s="126" t="str"/>
    </x:row>
    <x:row r="11">
      <x:c r="A11" s="126" t="str">
        <x:v>Cat</x:v>
      </x:c>
      <x:c r="B11" s="126" t="str">
        <x:v>Creature</x:v>
      </x:c>
      <x:c r="C11" s="126" t="str">
        <x:v>Core</x:v>
      </x:c>
      <x:c r="D11" s="126" t="str"/>
      <x:c r="E11" s="126" t="str"/>
      <x:c r="F11" s="126" t="str"/>
      <x:c r="G11" s="126" t="str"/>
      <x:c r="H11" s="126" t="str"/>
      <x:c r="I11" s="126" t="str"/>
      <x:c r="J11" s="126" t="str"/>
      <x:c r="K11" s="126" t="str"/>
      <x:c r="L11" s="126" t="str"/>
      <x:c r="M11" s="126" t="str"/>
      <x:c r="N11" s="126" t="str"/>
      <x:c r="O11" s="126" t="str"/>
      <x:c r="P11" s="126" t="str"/>
      <x:c r="Q11" s="126" t="str"/>
      <x:c r="R11" s="126" t="str"/>
      <x:c r="S11" s="126" t="str"/>
      <x:c r="T11" s="126" t="str"/>
      <x:c r="U11" s="126" t="str"/>
      <x:c r="V11" s="126" t="str"/>
      <x:c r="W11" s="126" t="str"/>
      <x:c r="X11" s="126" t="str"/>
      <x:c r="Y11" s="126" t="n">
        <x:f>COUNTIF(D11:X11,"Complete")</x:f>
        <x:v>0</x:v>
      </x:c>
      <x:c r="Z11" s="130" t="n">
        <x:f>IF(COUNTA(D11:X11)=0,0,COUNTIF(D11:X11,"Complete")/COLUMNS(D11:X11))</x:f>
        <x:v>0</x:v>
      </x:c>
      <x:c r="AA11" s="126" t="str"/>
    </x:row>
    <x:row r="12">
      <x:c r="A12" s="126" t="str">
        <x:v>Bunny</x:v>
      </x:c>
      <x:c r="B12" s="126" t="str">
        <x:v>Creature</x:v>
      </x:c>
      <x:c r="C12" s="126" t="str">
        <x:v>Planned</x:v>
      </x:c>
      <x:c r="D12" s="126" t="str"/>
      <x:c r="E12" s="126" t="str"/>
      <x:c r="F12" s="126" t="str"/>
      <x:c r="G12" s="126" t="str"/>
      <x:c r="H12" s="126" t="str"/>
      <x:c r="I12" s="126" t="str"/>
      <x:c r="J12" s="126" t="str"/>
      <x:c r="K12" s="126" t="str"/>
      <x:c r="L12" s="126" t="str"/>
      <x:c r="M12" s="126" t="str"/>
      <x:c r="N12" s="126" t="str"/>
      <x:c r="O12" s="126" t="str"/>
      <x:c r="P12" s="126" t="str"/>
      <x:c r="Q12" s="126" t="str"/>
      <x:c r="R12" s="126" t="str"/>
      <x:c r="S12" s="126" t="str"/>
      <x:c r="T12" s="126" t="str"/>
      <x:c r="U12" s="126" t="str"/>
      <x:c r="V12" s="126" t="str"/>
      <x:c r="W12" s="126" t="str"/>
      <x:c r="X12" s="126" t="str"/>
      <x:c r="Y12" s="126" t="n">
        <x:f>COUNTIF(D12:X12,"Complete")</x:f>
        <x:v>0</x:v>
      </x:c>
      <x:c r="Z12" s="130" t="n">
        <x:f>IF(COUNTA(D12:X12)=0,0,COUNTIF(D12:X12,"Complete")/COLUMNS(D12:X12))</x:f>
        <x:v>0</x:v>
      </x:c>
      <x:c r="AA12" s="126" t="str"/>
    </x:row>
    <x:row r="13">
      <x:c r="A13" s="126" t="str">
        <x:v>Dog</x:v>
      </x:c>
      <x:c r="B13" s="126" t="str">
        <x:v>Creature</x:v>
      </x:c>
      <x:c r="C13" s="126" t="str">
        <x:v>Planned</x:v>
      </x:c>
      <x:c r="D13" s="126" t="str"/>
      <x:c r="E13" s="126" t="str"/>
      <x:c r="F13" s="126" t="str"/>
      <x:c r="G13" s="126" t="str"/>
      <x:c r="H13" s="126" t="str"/>
      <x:c r="I13" s="126" t="str"/>
      <x:c r="J13" s="126" t="str"/>
      <x:c r="K13" s="126" t="str"/>
      <x:c r="L13" s="126" t="str"/>
      <x:c r="M13" s="126" t="str"/>
      <x:c r="N13" s="126" t="str"/>
      <x:c r="O13" s="126" t="str"/>
      <x:c r="P13" s="126" t="str"/>
      <x:c r="Q13" s="126" t="str"/>
      <x:c r="R13" s="126" t="str"/>
      <x:c r="S13" s="126" t="str"/>
      <x:c r="T13" s="126" t="str"/>
      <x:c r="U13" s="126" t="str"/>
      <x:c r="V13" s="126" t="str"/>
      <x:c r="W13" s="126" t="str"/>
      <x:c r="X13" s="126" t="str"/>
      <x:c r="Y13" s="126" t="n">
        <x:f>COUNTIF(D13:X13,"Complete")</x:f>
        <x:v>0</x:v>
      </x:c>
      <x:c r="Z13" s="130" t="n">
        <x:f>IF(COUNTA(D13:X13)=0,0,COUNTIF(D13:X13,"Complete")/COLUMNS(D13:X13))</x:f>
        <x:v>0</x:v>
      </x:c>
      <x:c r="AA13" s="126" t="str"/>
    </x:row>
    <x:row r="14">
      <x:c r="A14" s="126" t="str">
        <x:v>Fox</x:v>
      </x:c>
      <x:c r="B14" s="126" t="str">
        <x:v>Creature</x:v>
      </x:c>
      <x:c r="C14" s="126" t="str">
        <x:v>Planned</x:v>
      </x:c>
      <x:c r="D14" s="126" t="str"/>
      <x:c r="E14" s="126" t="str"/>
      <x:c r="F14" s="126" t="str"/>
      <x:c r="G14" s="126" t="str"/>
      <x:c r="H14" s="126" t="str"/>
      <x:c r="I14" s="126" t="str"/>
      <x:c r="J14" s="126" t="str"/>
      <x:c r="K14" s="126" t="str"/>
      <x:c r="L14" s="126" t="str"/>
      <x:c r="M14" s="126" t="str"/>
      <x:c r="N14" s="126" t="str"/>
      <x:c r="O14" s="126" t="str"/>
      <x:c r="P14" s="126" t="str"/>
      <x:c r="Q14" s="126" t="str"/>
      <x:c r="R14" s="126" t="str"/>
      <x:c r="S14" s="126" t="str"/>
      <x:c r="T14" s="126" t="str"/>
      <x:c r="U14" s="126" t="str"/>
      <x:c r="V14" s="126" t="str"/>
      <x:c r="W14" s="126" t="str"/>
      <x:c r="X14" s="126" t="str"/>
      <x:c r="Y14" s="126" t="n">
        <x:f>COUNTIF(D14:X14,"Complete")</x:f>
        <x:v>0</x:v>
      </x:c>
      <x:c r="Z14" s="130" t="n">
        <x:f>IF(COUNTA(D14:X14)=0,0,COUNTIF(D14:X14,"Complete")/COLUMNS(D14:X14))</x:f>
        <x:v>0</x:v>
      </x:c>
      <x:c r="AA14" s="126" t="str"/>
    </x:row>
    <x:row r="15">
      <x:c r="A15" s="126" t="str">
        <x:v>Cow</x:v>
      </x:c>
      <x:c r="B15" s="126" t="str">
        <x:v>Creature</x:v>
      </x:c>
      <x:c r="C15" s="126" t="str">
        <x:v>Planned</x:v>
      </x:c>
      <x:c r="D15" s="126" t="str"/>
      <x:c r="E15" s="126" t="str"/>
      <x:c r="F15" s="126" t="str"/>
      <x:c r="G15" s="126" t="str"/>
      <x:c r="H15" s="126" t="str"/>
      <x:c r="I15" s="126" t="str"/>
      <x:c r="J15" s="126" t="str"/>
      <x:c r="K15" s="126" t="str"/>
      <x:c r="L15" s="126" t="str"/>
      <x:c r="M15" s="126" t="str"/>
      <x:c r="N15" s="126" t="str"/>
      <x:c r="O15" s="126" t="str"/>
      <x:c r="P15" s="126" t="str"/>
      <x:c r="Q15" s="126" t="str"/>
      <x:c r="R15" s="126" t="str"/>
      <x:c r="S15" s="126" t="str"/>
      <x:c r="T15" s="126" t="str"/>
      <x:c r="U15" s="126" t="str"/>
      <x:c r="V15" s="126" t="str"/>
      <x:c r="W15" s="126" t="str"/>
      <x:c r="X15" s="126" t="str"/>
      <x:c r="Y15" s="126" t="n">
        <x:f>COUNTIF(D15:X15,"Complete")</x:f>
        <x:v>0</x:v>
      </x:c>
      <x:c r="Z15" s="130" t="n">
        <x:f>IF(COUNTA(D15:X15)=0,0,COUNTIF(D15:X15,"Complete")/COLUMNS(D15:X15))</x:f>
        <x:v>0</x:v>
      </x:c>
      <x:c r="AA15" s="126" t="str"/>
    </x:row>
    <x:row r="16">
      <x:c r="A16" s="126" t="str">
        <x:v>Sheep</x:v>
      </x:c>
      <x:c r="B16" s="126" t="str">
        <x:v>Creature</x:v>
      </x:c>
      <x:c r="C16" s="126" t="str">
        <x:v>Planned</x:v>
      </x:c>
      <x:c r="D16" s="126" t="str"/>
      <x:c r="E16" s="126" t="str"/>
      <x:c r="F16" s="126" t="str"/>
      <x:c r="G16" s="126" t="str"/>
      <x:c r="H16" s="126" t="str"/>
      <x:c r="I16" s="126" t="str"/>
      <x:c r="J16" s="126" t="str"/>
      <x:c r="K16" s="126" t="str"/>
      <x:c r="L16" s="126" t="str"/>
      <x:c r="M16" s="126" t="str"/>
      <x:c r="N16" s="126" t="str"/>
      <x:c r="O16" s="126" t="str"/>
      <x:c r="P16" s="126" t="str"/>
      <x:c r="Q16" s="126" t="str"/>
      <x:c r="R16" s="126" t="str"/>
      <x:c r="S16" s="126" t="str"/>
      <x:c r="T16" s="126" t="str"/>
      <x:c r="U16" s="126" t="str"/>
      <x:c r="V16" s="126" t="str"/>
      <x:c r="W16" s="126" t="str"/>
      <x:c r="X16" s="126" t="str"/>
      <x:c r="Y16" s="126" t="n">
        <x:f>COUNTIF(D16:X16,"Complete")</x:f>
        <x:v>0</x:v>
      </x:c>
      <x:c r="Z16" s="130" t="n">
        <x:f>IF(COUNTA(D16:X16)=0,0,COUNTIF(D16:X16,"Complete")/COLUMNS(D16:X16))</x:f>
        <x:v>0</x:v>
      </x:c>
      <x:c r="AA16" s="126" t="str"/>
    </x:row>
    <x:row r="17">
      <x:c r="A17" s="126" t="str">
        <x:v>Goat</x:v>
      </x:c>
      <x:c r="B17" s="126" t="str">
        <x:v>Creature</x:v>
      </x:c>
      <x:c r="C17" s="126" t="str">
        <x:v>Planned</x:v>
      </x:c>
      <x:c r="D17" s="126" t="str"/>
      <x:c r="E17" s="126" t="str"/>
      <x:c r="F17" s="126" t="str"/>
      <x:c r="G17" s="126" t="str"/>
      <x:c r="H17" s="126" t="str"/>
      <x:c r="I17" s="126" t="str"/>
      <x:c r="J17" s="126" t="str"/>
      <x:c r="K17" s="126" t="str"/>
      <x:c r="L17" s="126" t="str"/>
      <x:c r="M17" s="126" t="str"/>
      <x:c r="N17" s="126" t="str"/>
      <x:c r="O17" s="126" t="str"/>
      <x:c r="P17" s="126" t="str"/>
      <x:c r="Q17" s="126" t="str"/>
      <x:c r="R17" s="126" t="str"/>
      <x:c r="S17" s="126" t="str"/>
      <x:c r="T17" s="126" t="str"/>
      <x:c r="U17" s="126" t="str"/>
      <x:c r="V17" s="126" t="str"/>
      <x:c r="W17" s="126" t="str"/>
      <x:c r="X17" s="126" t="str"/>
      <x:c r="Y17" s="126" t="n">
        <x:f>COUNTIF(D17:X17,"Complete")</x:f>
        <x:v>0</x:v>
      </x:c>
      <x:c r="Z17" s="130" t="n">
        <x:f>IF(COUNTA(D17:X17)=0,0,COUNTIF(D17:X17,"Complete")/COLUMNS(D17:X17))</x:f>
        <x:v>0</x:v>
      </x:c>
      <x:c r="AA17" s="126" t="str"/>
    </x:row>
    <x:row r="18">
      <x:c r="A18" s="126" t="str">
        <x:v>NPC 01</x:v>
      </x:c>
      <x:c r="B18" s="126" t="str">
        <x:v>NPC</x:v>
      </x:c>
      <x:c r="C18" s="126" t="str">
        <x:v>Planned</x:v>
      </x:c>
      <x:c r="D18" s="126" t="str"/>
      <x:c r="E18" s="126" t="str"/>
      <x:c r="F18" s="126" t="str"/>
      <x:c r="G18" s="126" t="str"/>
      <x:c r="H18" s="126" t="str"/>
      <x:c r="I18" s="126" t="str"/>
      <x:c r="J18" s="126" t="str"/>
      <x:c r="K18" s="126" t="str"/>
      <x:c r="L18" s="126" t="str"/>
      <x:c r="M18" s="126" t="str"/>
      <x:c r="N18" s="126" t="str"/>
      <x:c r="O18" s="126" t="str"/>
      <x:c r="P18" s="126" t="str"/>
      <x:c r="Q18" s="126" t="str"/>
      <x:c r="R18" s="126" t="str"/>
      <x:c r="S18" s="126" t="str"/>
      <x:c r="T18" s="126" t="str"/>
      <x:c r="U18" s="126" t="str"/>
      <x:c r="V18" s="126" t="str"/>
      <x:c r="W18" s="126" t="str"/>
      <x:c r="X18" s="126" t="str"/>
      <x:c r="Y18" s="126" t="n">
        <x:f>COUNTIF(D18:X18,"Complete")</x:f>
        <x:v>0</x:v>
      </x:c>
      <x:c r="Z18" s="130" t="n">
        <x:f>IF(COUNTA(D18:X18)=0,0,COUNTIF(D18:X18,"Complete")/COLUMNS(D18:X18))</x:f>
        <x:v>0</x:v>
      </x:c>
      <x:c r="AA18" s="126" t="str"/>
    </x:row>
    <x:row r="19">
      <x:c r="A19" s="126" t="str">
        <x:v>NPC 02</x:v>
      </x:c>
      <x:c r="B19" s="126" t="str">
        <x:v>NPC</x:v>
      </x:c>
      <x:c r="C19" s="126" t="str">
        <x:v>Planned</x:v>
      </x:c>
      <x:c r="D19" s="126" t="str"/>
      <x:c r="E19" s="126" t="str"/>
      <x:c r="F19" s="126" t="str"/>
      <x:c r="G19" s="126" t="str"/>
      <x:c r="H19" s="126" t="str"/>
      <x:c r="I19" s="126" t="str"/>
      <x:c r="J19" s="126" t="str"/>
      <x:c r="K19" s="126" t="str"/>
      <x:c r="L19" s="126" t="str"/>
      <x:c r="M19" s="126" t="str"/>
      <x:c r="N19" s="126" t="str"/>
      <x:c r="O19" s="126" t="str"/>
      <x:c r="P19" s="126" t="str"/>
      <x:c r="Q19" s="126" t="str"/>
      <x:c r="R19" s="126" t="str"/>
      <x:c r="S19" s="126" t="str"/>
      <x:c r="T19" s="126" t="str"/>
      <x:c r="U19" s="126" t="str"/>
      <x:c r="V19" s="126" t="str"/>
      <x:c r="W19" s="126" t="str"/>
      <x:c r="X19" s="126" t="str"/>
      <x:c r="Y19" s="126" t="n">
        <x:f>COUNTIF(D19:X19,"Complete")</x:f>
        <x:v>0</x:v>
      </x:c>
      <x:c r="Z19" s="130" t="n">
        <x:f>IF(COUNTA(D19:X19)=0,0,COUNTIF(D19:X19,"Complete")/COLUMNS(D19:X19))</x:f>
        <x:v>0</x:v>
      </x:c>
      <x:c r="AA19" s="126" t="str"/>
    </x:row>
    <x:row r="20">
      <x:c r="A20" s="126" t="str">
        <x:v>NPC 03</x:v>
      </x:c>
      <x:c r="B20" s="126" t="str">
        <x:v>NPC</x:v>
      </x:c>
      <x:c r="C20" s="126" t="str">
        <x:v>Planned</x:v>
      </x:c>
      <x:c r="D20" s="126" t="str"/>
      <x:c r="E20" s="126" t="str"/>
      <x:c r="F20" s="126" t="str"/>
      <x:c r="G20" s="126" t="str"/>
      <x:c r="H20" s="126" t="str"/>
      <x:c r="I20" s="126" t="str"/>
      <x:c r="J20" s="126" t="str"/>
      <x:c r="K20" s="126" t="str"/>
      <x:c r="L20" s="126" t="str"/>
      <x:c r="M20" s="126" t="str"/>
      <x:c r="N20" s="126" t="str"/>
      <x:c r="O20" s="126" t="str"/>
      <x:c r="P20" s="126" t="str"/>
      <x:c r="Q20" s="126" t="str"/>
      <x:c r="R20" s="126" t="str"/>
      <x:c r="S20" s="126" t="str"/>
      <x:c r="T20" s="126" t="str"/>
      <x:c r="U20" s="126" t="str"/>
      <x:c r="V20" s="126" t="str"/>
      <x:c r="W20" s="126" t="str"/>
      <x:c r="X20" s="126" t="str"/>
      <x:c r="Y20" s="126" t="n">
        <x:f>COUNTIF(D20:X20,"Complete")</x:f>
        <x:v>0</x:v>
      </x:c>
      <x:c r="Z20" s="130" t="n">
        <x:f>IF(COUNTA(D20:X20)=0,0,COUNTIF(D20:X20,"Complete")/COLUMNS(D20:X20))</x:f>
        <x:v>0</x:v>
      </x:c>
      <x:c r="AA20" s="126" t="str"/>
    </x:row>
    <x:row r="21">
      <x:c r="A21" s="126" t="str">
        <x:v>NPC 04</x:v>
      </x:c>
      <x:c r="B21" s="126" t="str">
        <x:v>NPC</x:v>
      </x:c>
      <x:c r="C21" s="126" t="str">
        <x:v>Planned</x:v>
      </x:c>
      <x:c r="D21" s="126" t="str"/>
      <x:c r="E21" s="126" t="str"/>
      <x:c r="F21" s="126" t="str"/>
      <x:c r="G21" s="126" t="str"/>
      <x:c r="H21" s="126" t="str"/>
      <x:c r="I21" s="126" t="str"/>
      <x:c r="J21" s="126" t="str"/>
      <x:c r="K21" s="126" t="str"/>
      <x:c r="L21" s="126" t="str"/>
      <x:c r="M21" s="126" t="str"/>
      <x:c r="N21" s="126" t="str"/>
      <x:c r="O21" s="126" t="str"/>
      <x:c r="P21" s="126" t="str"/>
      <x:c r="Q21" s="126" t="str"/>
      <x:c r="R21" s="126" t="str"/>
      <x:c r="S21" s="126" t="str"/>
      <x:c r="T21" s="126" t="str"/>
      <x:c r="U21" s="126" t="str"/>
      <x:c r="V21" s="126" t="str"/>
      <x:c r="W21" s="126" t="str"/>
      <x:c r="X21" s="126" t="str"/>
      <x:c r="Y21" s="126" t="n">
        <x:f>COUNTIF(D21:X21,"Complete")</x:f>
        <x:v>0</x:v>
      </x:c>
      <x:c r="Z21" s="130" t="n">
        <x:f>IF(COUNTA(D21:X21)=0,0,COUNTIF(D21:X21,"Complete")/COLUMNS(D21:X21))</x:f>
        <x:v>0</x:v>
      </x:c>
      <x:c r="AA21" s="126" t="str"/>
    </x:row>
    <x:row r="22">
      <x:c r="A22" s="126" t="str">
        <x:v>NPC 05</x:v>
      </x:c>
      <x:c r="B22" s="126" t="str">
        <x:v>NPC</x:v>
      </x:c>
      <x:c r="C22" s="126" t="str">
        <x:v>Planned</x:v>
      </x:c>
      <x:c r="D22" s="126" t="str"/>
      <x:c r="E22" s="126" t="str"/>
      <x:c r="F22" s="126" t="str"/>
      <x:c r="G22" s="126" t="str"/>
      <x:c r="H22" s="126" t="str"/>
      <x:c r="I22" s="126" t="str"/>
      <x:c r="J22" s="126" t="str"/>
      <x:c r="K22" s="126" t="str"/>
      <x:c r="L22" s="126" t="str"/>
      <x:c r="M22" s="126" t="str"/>
      <x:c r="N22" s="126" t="str"/>
      <x:c r="O22" s="126" t="str"/>
      <x:c r="P22" s="126" t="str"/>
      <x:c r="Q22" s="126" t="str"/>
      <x:c r="R22" s="126" t="str"/>
      <x:c r="S22" s="126" t="str"/>
      <x:c r="T22" s="126" t="str"/>
      <x:c r="U22" s="126" t="str"/>
      <x:c r="V22" s="126" t="str"/>
      <x:c r="W22" s="126" t="str"/>
      <x:c r="X22" s="126" t="str"/>
      <x:c r="Y22" s="126" t="n">
        <x:f>COUNTIF(D22:X22,"Complete")</x:f>
        <x:v>0</x:v>
      </x:c>
      <x:c r="Z22" s="130" t="n">
        <x:f>IF(COUNTA(D22:X22)=0,0,COUNTIF(D22:X22,"Complete")/COLUMNS(D22:X22))</x:f>
        <x:v>0</x:v>
      </x:c>
      <x:c r="AA22" s="126" t="str"/>
    </x:row>
    <x:row r="23">
      <x:c r="A23" s="126" t="str">
        <x:v>NPC 06</x:v>
      </x:c>
      <x:c r="B23" s="126" t="str">
        <x:v>NPC</x:v>
      </x:c>
      <x:c r="C23" s="126" t="str">
        <x:v>Planned</x:v>
      </x:c>
      <x:c r="D23" s="126" t="str"/>
      <x:c r="E23" s="126" t="str"/>
      <x:c r="F23" s="126" t="str"/>
      <x:c r="G23" s="126" t="str"/>
      <x:c r="H23" s="126" t="str"/>
      <x:c r="I23" s="126" t="str"/>
      <x:c r="J23" s="126" t="str"/>
      <x:c r="K23" s="126" t="str"/>
      <x:c r="L23" s="126" t="str"/>
      <x:c r="M23" s="126" t="str"/>
      <x:c r="N23" s="126" t="str"/>
      <x:c r="O23" s="126" t="str"/>
      <x:c r="P23" s="126" t="str"/>
      <x:c r="Q23" s="126" t="str"/>
      <x:c r="R23" s="126" t="str"/>
      <x:c r="S23" s="126" t="str"/>
      <x:c r="T23" s="126" t="str"/>
      <x:c r="U23" s="126" t="str"/>
      <x:c r="V23" s="126" t="str"/>
      <x:c r="W23" s="126" t="str"/>
      <x:c r="X23" s="126" t="str"/>
      <x:c r="Y23" s="126" t="n">
        <x:f>COUNTIF(D23:X23,"Complete")</x:f>
        <x:v>0</x:v>
      </x:c>
      <x:c r="Z23" s="130" t="n">
        <x:f>IF(COUNTA(D23:X23)=0,0,COUNTIF(D23:X23,"Complete")/COLUMNS(D23:X23))</x:f>
        <x:v>0</x:v>
      </x:c>
      <x:c r="AA23" s="126" t="str"/>
    </x:row>
    <x:row r="24">
      <x:c r="A24" s="126" t="str">
        <x:v>NPC 07</x:v>
      </x:c>
      <x:c r="B24" s="126" t="str">
        <x:v>NPC</x:v>
      </x:c>
      <x:c r="C24" s="126" t="str">
        <x:v>Planned</x:v>
      </x:c>
      <x:c r="D24" s="126" t="str"/>
      <x:c r="E24" s="126" t="str"/>
      <x:c r="F24" s="126" t="str"/>
      <x:c r="G24" s="126" t="str"/>
      <x:c r="H24" s="126" t="str"/>
      <x:c r="I24" s="126" t="str"/>
      <x:c r="J24" s="126" t="str"/>
      <x:c r="K24" s="126" t="str"/>
      <x:c r="L24" s="126" t="str"/>
      <x:c r="M24" s="126" t="str"/>
      <x:c r="N24" s="126" t="str"/>
      <x:c r="O24" s="126" t="str"/>
      <x:c r="P24" s="126" t="str"/>
      <x:c r="Q24" s="126" t="str"/>
      <x:c r="R24" s="126" t="str"/>
      <x:c r="S24" s="126" t="str"/>
      <x:c r="T24" s="126" t="str"/>
      <x:c r="U24" s="126" t="str"/>
      <x:c r="V24" s="126" t="str"/>
      <x:c r="W24" s="126" t="str"/>
      <x:c r="X24" s="126" t="str"/>
      <x:c r="Y24" s="126" t="n">
        <x:f>COUNTIF(D24:X24,"Complete")</x:f>
        <x:v>0</x:v>
      </x:c>
      <x:c r="Z24" s="130" t="n">
        <x:f>IF(COUNTA(D24:X24)=0,0,COUNTIF(D24:X24,"Complete")/COLUMNS(D24:X24))</x:f>
        <x:v>0</x:v>
      </x:c>
      <x:c r="AA24" s="126" t="str"/>
    </x:row>
    <x:row r="25">
      <x:c r="A25" s="126" t="str">
        <x:v>NPC 08</x:v>
      </x:c>
      <x:c r="B25" s="126" t="str">
        <x:v>NPC</x:v>
      </x:c>
      <x:c r="C25" s="126" t="str">
        <x:v>Planned</x:v>
      </x:c>
      <x:c r="D25" s="126" t="str"/>
      <x:c r="E25" s="126" t="str"/>
      <x:c r="F25" s="126" t="str"/>
      <x:c r="G25" s="126" t="str"/>
      <x:c r="H25" s="126" t="str"/>
      <x:c r="I25" s="126" t="str"/>
      <x:c r="J25" s="126" t="str"/>
      <x:c r="K25" s="126" t="str"/>
      <x:c r="L25" s="126" t="str"/>
      <x:c r="M25" s="126" t="str"/>
      <x:c r="N25" s="126" t="str"/>
      <x:c r="O25" s="126" t="str"/>
      <x:c r="P25" s="126" t="str"/>
      <x:c r="Q25" s="126" t="str"/>
      <x:c r="R25" s="126" t="str"/>
      <x:c r="S25" s="126" t="str"/>
      <x:c r="T25" s="126" t="str"/>
      <x:c r="U25" s="126" t="str"/>
      <x:c r="V25" s="126" t="str"/>
      <x:c r="W25" s="126" t="str"/>
      <x:c r="X25" s="126" t="str"/>
      <x:c r="Y25" s="126" t="n">
        <x:f>COUNTIF(D25:X25,"Complete")</x:f>
        <x:v>0</x:v>
      </x:c>
      <x:c r="Z25" s="130" t="n">
        <x:f>IF(COUNTA(D25:X25)=0,0,COUNTIF(D25:X25,"Complete")/COLUMNS(D25:X25))</x:f>
        <x:v>0</x:v>
      </x:c>
      <x:c r="AA25" s="126" t="str"/>
    </x:row>
    <x:row r="26">
      <x:c r="A26" s="126" t="str">
        <x:v>NPC 09</x:v>
      </x:c>
      <x:c r="B26" s="126" t="str">
        <x:v>NPC</x:v>
      </x:c>
      <x:c r="C26" s="126" t="str">
        <x:v>Planned</x:v>
      </x:c>
      <x:c r="D26" s="126" t="str"/>
      <x:c r="E26" s="126" t="str"/>
      <x:c r="F26" s="126" t="str"/>
      <x:c r="G26" s="126" t="str"/>
      <x:c r="H26" s="126" t="str"/>
      <x:c r="I26" s="126" t="str"/>
      <x:c r="J26" s="126" t="str"/>
      <x:c r="K26" s="126" t="str"/>
      <x:c r="L26" s="126" t="str"/>
      <x:c r="M26" s="126" t="str"/>
      <x:c r="N26" s="126" t="str"/>
      <x:c r="O26" s="126" t="str"/>
      <x:c r="P26" s="126" t="str"/>
      <x:c r="Q26" s="126" t="str"/>
      <x:c r="R26" s="126" t="str"/>
      <x:c r="S26" s="126" t="str"/>
      <x:c r="T26" s="126" t="str"/>
      <x:c r="U26" s="126" t="str"/>
      <x:c r="V26" s="126" t="str"/>
      <x:c r="W26" s="126" t="str"/>
      <x:c r="X26" s="126" t="str"/>
      <x:c r="Y26" s="126" t="n">
        <x:f>COUNTIF(D26:X26,"Complete")</x:f>
        <x:v>0</x:v>
      </x:c>
      <x:c r="Z26" s="130" t="n">
        <x:f>IF(COUNTA(D26:X26)=0,0,COUNTIF(D26:X26,"Complete")/COLUMNS(D26:X26))</x:f>
        <x:v>0</x:v>
      </x:c>
      <x:c r="AA26" s="126" t="str"/>
    </x:row>
    <x:row r="27">
      <x:c r="A27" s="126" t="str">
        <x:v>NPC 10</x:v>
      </x:c>
      <x:c r="B27" s="126" t="str">
        <x:v>NPC</x:v>
      </x:c>
      <x:c r="C27" s="126" t="str">
        <x:v>Planned</x:v>
      </x:c>
      <x:c r="D27" s="126" t="str"/>
      <x:c r="E27" s="126" t="str"/>
      <x:c r="F27" s="126" t="str"/>
      <x:c r="G27" s="126" t="str"/>
      <x:c r="H27" s="126" t="str"/>
      <x:c r="I27" s="126" t="str"/>
      <x:c r="J27" s="126" t="str"/>
      <x:c r="K27" s="126" t="str"/>
      <x:c r="L27" s="126" t="str"/>
      <x:c r="M27" s="126" t="str"/>
      <x:c r="N27" s="126" t="str"/>
      <x:c r="O27" s="126" t="str"/>
      <x:c r="P27" s="126" t="str"/>
      <x:c r="Q27" s="126" t="str"/>
      <x:c r="R27" s="126" t="str"/>
      <x:c r="S27" s="126" t="str"/>
      <x:c r="T27" s="126" t="str"/>
      <x:c r="U27" s="126" t="str"/>
      <x:c r="V27" s="126" t="str"/>
      <x:c r="W27" s="126" t="str"/>
      <x:c r="X27" s="126" t="str"/>
      <x:c r="Y27" s="126" t="n">
        <x:f>COUNTIF(D27:X27,"Complete")</x:f>
        <x:v>0</x:v>
      </x:c>
      <x:c r="Z27" s="130" t="n">
        <x:f>IF(COUNTA(D27:X27)=0,0,COUNTIF(D27:X27,"Complete")/COLUMNS(D27:X27))</x:f>
        <x:v>0</x:v>
      </x:c>
      <x:c r="AA27" s="126" t="str"/>
    </x:row>
    <x:row r="28">
      <x:c r="A28" s="126" t="str">
        <x:v>NPC 11</x:v>
      </x:c>
      <x:c r="B28" s="126" t="str">
        <x:v>NPC</x:v>
      </x:c>
      <x:c r="C28" s="126" t="str">
        <x:v>Planned</x:v>
      </x:c>
      <x:c r="D28" s="126" t="str"/>
      <x:c r="E28" s="126" t="str"/>
      <x:c r="F28" s="126" t="str"/>
      <x:c r="G28" s="126" t="str"/>
      <x:c r="H28" s="126" t="str"/>
      <x:c r="I28" s="126" t="str"/>
      <x:c r="J28" s="126" t="str"/>
      <x:c r="K28" s="126" t="str"/>
      <x:c r="L28" s="126" t="str"/>
      <x:c r="M28" s="126" t="str"/>
      <x:c r="N28" s="126" t="str"/>
      <x:c r="O28" s="126" t="str"/>
      <x:c r="P28" s="126" t="str"/>
      <x:c r="Q28" s="126" t="str"/>
      <x:c r="R28" s="126" t="str"/>
      <x:c r="S28" s="126" t="str"/>
      <x:c r="T28" s="126" t="str"/>
      <x:c r="U28" s="126" t="str"/>
      <x:c r="V28" s="126" t="str"/>
      <x:c r="W28" s="126" t="str"/>
      <x:c r="X28" s="126" t="str"/>
      <x:c r="Y28" s="126" t="n">
        <x:f>COUNTIF(D28:X28,"Complete")</x:f>
        <x:v>0</x:v>
      </x:c>
      <x:c r="Z28" s="130" t="n">
        <x:f>IF(COUNTA(D28:X28)=0,0,COUNTIF(D28:X28,"Complete")/COLUMNS(D28:X28))</x:f>
        <x:v>0</x:v>
      </x:c>
      <x:c r="AA28" s="126" t="str"/>
    </x:row>
    <x:row r="29">
      <x:c r="A29" s="126" t="str">
        <x:v>NPC 12</x:v>
      </x:c>
      <x:c r="B29" s="126" t="str">
        <x:v>NPC</x:v>
      </x:c>
      <x:c r="C29" s="126" t="str">
        <x:v>Planned</x:v>
      </x:c>
      <x:c r="D29" s="126" t="str"/>
      <x:c r="E29" s="126" t="str"/>
      <x:c r="F29" s="126" t="str"/>
      <x:c r="G29" s="126" t="str"/>
      <x:c r="H29" s="126" t="str"/>
      <x:c r="I29" s="126" t="str"/>
      <x:c r="J29" s="126" t="str"/>
      <x:c r="K29" s="126" t="str"/>
      <x:c r="L29" s="126" t="str"/>
      <x:c r="M29" s="126" t="str"/>
      <x:c r="N29" s="126" t="str"/>
      <x:c r="O29" s="126" t="str"/>
      <x:c r="P29" s="126" t="str"/>
      <x:c r="Q29" s="126" t="str"/>
      <x:c r="R29" s="126" t="str"/>
      <x:c r="S29" s="126" t="str"/>
      <x:c r="T29" s="126" t="str"/>
      <x:c r="U29" s="126" t="str"/>
      <x:c r="V29" s="126" t="str"/>
      <x:c r="W29" s="126" t="str"/>
      <x:c r="X29" s="126" t="str"/>
      <x:c r="Y29" s="126" t="n">
        <x:f>COUNTIF(D29:X29,"Complete")</x:f>
        <x:v>0</x:v>
      </x:c>
      <x:c r="Z29" s="130" t="n">
        <x:f>IF(COUNTA(D29:X29)=0,0,COUNTIF(D29:X29,"Complete")/COLUMNS(D29:X29))</x:f>
        <x:v>0</x:v>
      </x:c>
      <x:c r="AA29" s="126" t="str"/>
    </x:row>
    <x:row r="32">
      <x:c r="A32" s="129" t="str">
        <x:v>Summary</x:v>
      </x:c>
      <x:c r="B32" s="129" t="str">
        <x:v>Count</x:v>
      </x:c>
      <x:c r="C32"/>
      <x:c r="D32" t="str">
        <x:v>Recommended categories included</x:v>
      </x:c>
      <x:c r="E32"/>
      <x:c r="F32"/>
      <x:c r="G32"/>
    </x:row>
    <x:row r="33">
      <x:c r="A33" s="125" t="str">
        <x:v>Subjects listed</x:v>
      </x:c>
      <x:c r="B33" s="125" t="n">
        <x:f>COUNTA(A9:A29)</x:f>
        <x:v>21</x:v>
      </x:c>
    </x:row>
    <x:row r="34">
      <x:c r="A34" s="125" t="str">
        <x:v>Total matrix cells</x:v>
      </x:c>
      <x:c r="B34" s="125" t="n">
        <x:f>COUNTA(A9:A29)*COLUMNS(D8:X8)</x:f>
        <x:v>441</x:v>
      </x:c>
    </x:row>
    <x:row r="35">
      <x:c r="A35" s="125" t="str">
        <x:v>Completed cells</x:v>
      </x:c>
      <x:c r="B35" s="125" t="n">
        <x:f>COUNTIF(D9:X29,"Complete")</x:f>
        <x:v>0</x:v>
      </x:c>
    </x:row>
    <x:row r="36">
      <x:c r="A36" s="125" t="str">
        <x:v>Working cells</x:v>
      </x:c>
      <x:c r="B36" s="125" t="n">
        <x:f>COUNTIF(D9:X29,"Working On")</x:f>
        <x:v>0</x:v>
      </x:c>
    </x:row>
    <x:row r="37">
      <x:c r="A37" s="125" t="str">
        <x:v>Need to start cells</x:v>
      </x:c>
      <x:c r="B37" s="125" t="n">
        <x:f>COUNTIF(D9:X29,"Need to Start")</x:f>
        <x:v>0</x:v>
      </x:c>
    </x:row>
    <x:row r="38">
      <x:c r="A38" s="125" t="str">
        <x:v>Blocked cells</x:v>
      </x:c>
      <x:c r="B38" s="125" t="n">
        <x:f>COUNTIF(D9:X29,"Blocked")</x:f>
        <x:v>0</x:v>
      </x:c>
    </x:row>
    <x:row r="39">
      <x:c r="A39" s="125" t="str">
        <x:v>Optional cells</x:v>
      </x:c>
      <x:c r="B39" s="125" t="n">
        <x:f>COUNTIF(D9:X29,"Optional")</x:f>
        <x:v>0</x:v>
      </x:c>
    </x:row>
  </x:sheetData>
  <x:mergeCells>
    <x:mergeCell ref="A1:Z1"/>
    <x:mergeCell ref="A2:Z2"/>
  </x:mergeCells>
  <x:conditionalFormatting sqref="A9:C29">
    <x:cfRule type="expression" dxfId="4" priority="1">
      <x:formula>$B9="Player"</x:formula>
    </x:cfRule>
    <x:cfRule type="expression" dxfId="5" priority="2">
      <x:formula>$B9="Creature"</x:formula>
    </x:cfRule>
    <x:cfRule type="expression" dxfId="6" priority="3">
      <x:formula>$B9="NPC"</x:formula>
    </x:cfRule>
  </x:conditionalFormatting>
  <x:conditionalFormatting sqref="Z9:Z29">
    <x:cfRule type="colorScale" priority="4">
      <x:colorScale>
        <x:cfvo type="min"/>
        <x:cfvo type="percentile" val="50"/>
        <x:cfvo type="max"/>
        <x:color rgb="FECACA"/>
        <x:color rgb="FEF3C7"/>
        <x:color rgb="BBF7D0"/>
      </x:colorScale>
    </x:cfRule>
  </x:conditionalFormatting>
  <x:conditionalFormatting sqref="D9:X29">
    <x:cfRule type="expression" dxfId="7" priority="5">
      <x:formula>D9="Need to Start"</x:formula>
    </x:cfRule>
    <x:cfRule type="expression" dxfId="8" priority="6">
      <x:formula>D9="Working On"</x:formula>
    </x:cfRule>
    <x:cfRule type="expression" dxfId="9" priority="7">
      <x:formula>D9="Complete"</x:formula>
    </x:cfRule>
    <x:cfRule type="expression" dxfId="10" priority="8">
      <x:formula>D9="Blocked"</x:formula>
    </x:cfRule>
    <x:cfRule type="expression" dxfId="11" priority="9">
      <x:formula>D9="Optional"</x:formula>
    </x:cfRule>
    <x:cfRule type="expression" dxfId="12" priority="10">
      <x:formula>D9="Cut"</x:formula>
    </x:cfRule>
  </x:conditionalFormatting>
  <x:dataValidations count="1">
    <x:dataValidation type="list" allowBlank="1" showDropDown="0" sqref="D9:X29">
      <x:formula1>"Need to Start,Working On,Complete,Blocked,Optional,Cut,"</x:formula1>
    </x:dataValidation>
  </x:dataValidations>
  <x:pageMargins left="0.7" right="0.7" top="0.75" bottom="0.75" header="0.3" footer="0.3"/>
</x:worksheet>
</file>